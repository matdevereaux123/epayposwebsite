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sheets>
    <sheet name="How to use" sheetId="1" r:id="rId1"/>
    <sheet name="Plate Cost" sheetId="2" r:id="rId2"/>
    <sheet name="Menu Pricing" sheetId="3" r:id="rId3"/>
  </sheets>
  <calcPr calcId="191029" fullCalcOnLoad="1"/>
</workbook>
</file>

<file path=xl/styles.xml><?xml version="1.0" encoding="utf-8"?>
<styleSheet xmlns="http://schemas.openxmlformats.org/spreadsheetml/2006/main">
  <numFmts count="3">
    <numFmt numFmtId="164" formatCode="&quot;$&quot;#,##0.00;(&quot;$&quot;#,##0.00);&quot;-&quot;"/>
    <numFmt numFmtId="165" formatCode="0.0%;(0.0%);&quot;-&quot;"/>
    <numFmt numFmtId="166" formatCode="#,##0.00;(#,##0.00);&quot;-&quot;"/>
  </numFmts>
  <fonts count="7">
    <font>
      <sz val="10"/>
      <color rgb="FF0A1520"/>
      <name val="Arial"/>
    </font>
    <font>
      <b/>
      <sz val="16"/>
      <color rgb="FF0E6FA0"/>
      <name val="Arial"/>
    </font>
    <font>
      <b/>
      <sz val="10"/>
      <color rgb="FFFFFFFF"/>
      <name val="Arial"/>
    </font>
    <font>
      <sz val="10"/>
      <color rgb="FF0000FF"/>
      <name val="Arial"/>
    </font>
    <font>
      <i/>
      <sz val="9"/>
      <color rgb="FF4A5F70"/>
      <name val="Arial"/>
    </font>
    <font>
      <b/>
      <sz val="10"/>
      <color rgb="FF0A1520"/>
      <name val="Arial"/>
    </font>
    <font>
      <b/>
      <sz val="11"/>
      <color rgb="FF0A1520"/>
      <name val="Arial"/>
    </font>
  </fonts>
  <fills count="4">
    <fill>
      <patternFill patternType="none"/>
    </fill>
    <fill>
      <patternFill patternType="gray125"/>
    </fill>
    <fill>
      <patternFill patternType="solid">
        <fgColor rgb="FF0E6FA0"/>
        <bgColor indexed="64"/>
      </patternFill>
    </fill>
    <fill>
      <patternFill patternType="solid">
        <fgColor rgb="FFFFF6D5"/>
        <bgColor indexed="64"/>
      </patternFill>
    </fill>
  </fills>
  <borders count="3">
    <border>
      <left/>
      <right/>
      <top/>
      <bottom/>
      <diagonal/>
    </border>
    <border>
      <left style="thin">
        <color rgb="FFCBDCE7"/>
      </left>
      <right style="thin">
        <color rgb="FFCBDCE7"/>
      </right>
      <top style="thin">
        <color rgb="FFCBDCE7"/>
      </top>
      <bottom style="thin">
        <color rgb="FFCBDCE7"/>
      </bottom>
      <diagonal/>
    </border>
    <border>
      <left/>
      <right/>
      <top style="medium">
        <color rgb="FF0E6FA0"/>
      </top>
      <bottom/>
      <diagonal/>
    </border>
  </borders>
  <cellStyleXfs count="1">
    <xf numFmtId="0" fontId="0" fillId="0" borderId="0"/>
  </cellStyleXfs>
  <cellXfs count="15">
    <xf numFmtId="0" fontId="0" fillId="0" borderId="0" xfId="0"/>
    <xf numFmtId="0" fontId="1" fillId="0" borderId="0" xfId="0" applyFont="1"/>
    <xf numFmtId="0" fontId="2" fillId="2" borderId="1" xfId="0" applyFont="1" applyFill="1" applyBorder="1" applyAlignment="1">
      <alignment wrapText="1" vertical="center"/>
    </xf>
    <xf numFmtId="0" fontId="3" fillId="3" borderId="1" xfId="0" applyFont="1" applyFill="1" applyBorder="1"/>
    <xf numFmtId="164" fontId="3" fillId="3" borderId="1" xfId="0" applyNumberFormat="1" applyFont="1" applyFill="1" applyBorder="1"/>
    <xf numFmtId="166" fontId="3" fillId="3" borderId="1" xfId="0" applyNumberFormat="1" applyFont="1" applyFill="1" applyBorder="1"/>
    <xf numFmtId="165" fontId="3" fillId="3" borderId="1" xfId="0" applyNumberFormat="1" applyFont="1" applyFill="1" applyBorder="1"/>
    <xf numFmtId="164" fontId="0" fillId="0" borderId="1" xfId="0" applyNumberFormat="1" applyBorder="1"/>
    <xf numFmtId="165" fontId="0" fillId="0" borderId="1" xfId="0" applyNumberFormat="1" applyBorder="1"/>
    <xf numFmtId="0" fontId="4" fillId="0" borderId="0" xfId="0" applyFont="1" applyAlignment="1">
      <alignment wrapText="1" vertical="top"/>
    </xf>
    <xf numFmtId="0" fontId="5" fillId="0" borderId="0" xfId="0" applyFont="1"/>
    <xf numFmtId="164" fontId="6" fillId="0" borderId="2" xfId="0" applyNumberFormat="1" applyFont="1" applyBorder="1"/>
    <xf numFmtId="0" fontId="0" fillId="0" borderId="0" xfId="0" applyAlignment="1">
      <alignment wrapText="1" vertical="top"/>
    </xf>
    <xf numFmtId="0" fontId="6" fillId="0" borderId="0" xfId="0" applyFont="1"/>
    <xf numFmtId="166" fontId="0" fillId="0" borderId="1" xfId="0" applyNumberFormat="1" applyBorder="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Views>
    <sheetView workbookViewId="0" showGridLines="0"/>
  </sheetViews>
  <sheetFormatPr defaultRowHeight="15"/>
  <cols>
    <col min="1" max="1" width="4" customWidth="1"/>
    <col min="2" max="2" width="96" customWidth="1"/>
  </cols>
  <sheetData>
    <row r="2">
      <c r="B2" s="1" t="inlineStr">
        <is>
          <t xml:space="preserve">EPAY POS  |  Food Cost &amp; Menu Pricing Calculator</t>
        </is>
      </c>
    </row>
    <row r="3">
      <c r="B3" s="9" t="inlineStr">
        <is>
          <t xml:space="preserve">Work out what each plate costs you to make, then price it so every sale earns what you need.</t>
        </is>
      </c>
    </row>
    <row r="5">
      <c r="B5" s="13" t="inlineStr">
        <is>
          <t xml:space="preserve">How it works</t>
        </is>
      </c>
    </row>
    <row r="6" ht="30" customHeight="1">
      <c r="B6" s="12" t="inlineStr">
        <is>
          <t xml:space="preserve">1.  Plate Cost tab: list the ingredients in one menu item. Enter what you pay for each (price and pack size) and how much goes on one plate. The tab adds up the plate cost.</t>
        </is>
      </c>
    </row>
    <row r="7" ht="30" customHeight="1">
      <c r="B7" s="12" t="inlineStr">
        <is>
          <t xml:space="preserve">2.  Menu Pricing tab: enter each item's plate cost and the food cost % you are aiming for. It suggests a menu price, then shows your real food cost % and profit per plate at the price you actually charge.</t>
        </is>
      </c>
    </row>
    <row r="8">
      <c r="B8" s="12" t="inlineStr">
        <is>
          <t xml:space="preserve">3.  Update the numbers whenever a supplier changes a price. Every total recalculates on its own.</t>
        </is>
      </c>
    </row>
    <row r="9">
      <c r="B9" s="12" t="inlineStr">
        <is>
          <t xml:space="preserve"/>
        </is>
      </c>
    </row>
    <row r="10">
      <c r="B10" s="13" t="inlineStr">
        <is>
          <t xml:space="preserve">Which cells to edit</t>
        </is>
      </c>
    </row>
    <row r="11">
      <c r="B11" s="12" t="inlineStr">
        <is>
          <t xml:space="preserve">Yellow cells with blue numbers are yours to fill in. White cells are formulas: leave them alone.</t>
        </is>
      </c>
    </row>
    <row r="12" ht="30" customHeight="1">
      <c r="B12" s="12" t="inlineStr">
        <is>
          <t xml:space="preserve">The first row on each tab is a filled-in example so you can see the format. Its numbers are examples only. Type over them or clear them.</t>
        </is>
      </c>
    </row>
    <row r="13">
      <c r="B13" s="12" t="inlineStr">
        <is>
          <t xml:space="preserve"/>
        </is>
      </c>
    </row>
    <row r="14">
      <c r="B14" s="13" t="inlineStr">
        <is>
          <t xml:space="preserve">The formulas</t>
        </is>
      </c>
    </row>
    <row r="15">
      <c r="B15" s="12" t="inlineStr">
        <is>
          <t xml:space="preserve">Cost per plate  =  purchase price  ÷  purchase quantity  ×  amount used on one plate</t>
        </is>
      </c>
    </row>
    <row r="16">
      <c r="B16" s="12" t="inlineStr">
        <is>
          <t xml:space="preserve">Suggested price  =  plate cost  ÷  target food cost %</t>
        </is>
      </c>
    </row>
    <row r="17">
      <c r="B17" s="12" t="inlineStr">
        <is>
          <t xml:space="preserve">Actual food cost %  =  plate cost  ÷  your menu price</t>
        </is>
      </c>
    </row>
    <row r="18">
      <c r="B18" s="12" t="inlineStr">
        <is>
          <t xml:space="preserve">Profit per plate (before labor and overhead)  =  your menu price  −  plate cost</t>
        </is>
      </c>
    </row>
    <row r="19">
      <c r="B19" s="12" t="inlineStr">
        <is>
          <t xml:space="preserve"/>
        </is>
      </c>
    </row>
    <row r="20">
      <c r="B20" s="9" t="inlineStr">
        <is>
          <t xml:space="preserve">Your target food cost % is your call. It depends on your concept, your prices and your other costs, so set it from your own numbers.</t>
        </is>
      </c>
    </row>
    <row r="21">
      <c r="B21" s="12" t="inlineStr">
        <is>
          <t xml:space="preserve"/>
        </is>
      </c>
    </row>
    <row r="22">
      <c r="B22" s="13" t="inlineStr">
        <is>
          <t xml:space="preserve">From EPAY POS</t>
        </is>
      </c>
    </row>
    <row r="23" ht="30" customHeight="1">
      <c r="B23" s="12" t="inlineStr">
        <is>
          <t xml:space="preserve">Your processing fees come out of every one of these plates too. EPAY POS offers flat-rate processing at 2.3% + 5¢, or the Consumer Choice program with 0% processing. Get a free, line-by-line review of your current statement: epaypos.net/offers/statement-review  ·  947-228-7226 ext. 3</t>
        </is>
      </c>
    </row>
  </sheetData>
  <pageMargins left="0.5" right="0.5" top="0.6" bottom="0.6" header="0.3" footer="0.3"/>
  <pageSetup orientation="landscape" fitToWidth="1" fitToHeight="0"/>
</worksheet>
</file>

<file path=xl/worksheets/sheet2.xml><?xml version="1.0" encoding="utf-8"?>
<worksheet xmlns="http://schemas.openxmlformats.org/spreadsheetml/2006/main" xmlns:r="http://schemas.openxmlformats.org/officeDocument/2006/relationships">
  <sheetViews>
    <sheetView workbookViewId="0" showGridLines="0">
      <pane ySplit="6" topLeftCell="A7" activePane="bottomLeft" state="frozen"/>
    </sheetView>
  </sheetViews>
  <sheetFormatPr defaultRowHeight="15"/>
  <cols>
    <col min="1" max="1" width="30" customWidth="1"/>
    <col min="2" max="2" width="18" customWidth="1"/>
    <col min="3" max="3" width="18" customWidth="1"/>
    <col min="4" max="4" width="12" customWidth="1"/>
    <col min="5" max="5" width="20" customWidth="1"/>
    <col min="6" max="6" width="18" customWidth="1"/>
  </cols>
  <sheetData>
    <row r="1">
      <c r="A1" s="1" t="inlineStr">
        <is>
          <t xml:space="preserve">Plate Cost Builder</t>
        </is>
      </c>
    </row>
    <row r="2">
      <c r="A2" s="9" t="inlineStr">
        <is>
          <t xml:space="preserve">One menu item per copy of this tab. Right-click the tab &gt; Duplicate to cost another item.</t>
        </is>
      </c>
    </row>
    <row r="4">
      <c r="A4" s="10" t="inlineStr">
        <is>
          <t xml:space="preserve">Menu item</t>
        </is>
      </c>
      <c r="B4" s="3" t="inlineStr">
        <is>
          <t xml:space="preserve">Chicken sandwich (example)</t>
        </is>
      </c>
      <c r="C4" s="3"/>
    </row>
    <row r="6" ht="30" customHeight="1">
      <c r="A6" s="2" t="inlineStr">
        <is>
          <t xml:space="preserve">Ingredient</t>
        </is>
      </c>
      <c r="B6" s="2" t="inlineStr">
        <is>
          <t xml:space="preserve">Purchase price ($)</t>
        </is>
      </c>
      <c r="C6" s="2" t="inlineStr">
        <is>
          <t xml:space="preserve">Purchase quantity</t>
        </is>
      </c>
      <c r="D6" s="2" t="inlineStr">
        <is>
          <t xml:space="preserve">Unit</t>
        </is>
      </c>
      <c r="E6" s="2" t="inlineStr">
        <is>
          <t xml:space="preserve">Amount per plate (same unit)</t>
        </is>
      </c>
      <c r="F6" s="2" t="inlineStr">
        <is>
          <t xml:space="preserve">Cost per plate ($)</t>
        </is>
      </c>
    </row>
    <row r="7">
      <c r="A7" s="3" t="inlineStr">
        <is>
          <t xml:space="preserve">Chicken breast</t>
        </is>
      </c>
      <c r="B7" s="4">
        <v>24.0</v>
      </c>
      <c r="C7" s="5">
        <v>10</v>
      </c>
      <c r="D7" s="3" t="inlineStr">
        <is>
          <t xml:space="preserve">lb</t>
        </is>
      </c>
      <c r="E7" s="5">
        <v>0.4</v>
      </c>
      <c r="F7" s="7">
        <f>IF(AND(ISNUMBER(C7),C7&gt;0),B7/C7*E7,0)</f>
        <v>0.96</v>
      </c>
    </row>
    <row r="8">
      <c r="A8" s="3" t="inlineStr">
        <is>
          <t xml:space="preserve">Brioche bun</t>
        </is>
      </c>
      <c r="B8" s="4">
        <v>6.0</v>
      </c>
      <c r="C8" s="5">
        <v>12</v>
      </c>
      <c r="D8" s="3" t="inlineStr">
        <is>
          <t xml:space="preserve">each</t>
        </is>
      </c>
      <c r="E8" s="5">
        <v>1</v>
      </c>
      <c r="F8" s="7">
        <f>IF(AND(ISNUMBER(C8),C8&gt;0),B8/C8*E8,0)</f>
        <v>0.5</v>
      </c>
    </row>
    <row r="9">
      <c r="A9" s="3" t="inlineStr">
        <is>
          <t xml:space="preserve">Lettuce</t>
        </is>
      </c>
      <c r="B9" s="4">
        <v>3.0</v>
      </c>
      <c r="C9" s="5">
        <v>24</v>
      </c>
      <c r="D9" s="3" t="inlineStr">
        <is>
          <t xml:space="preserve">leaf</t>
        </is>
      </c>
      <c r="E9" s="5">
        <v>2</v>
      </c>
      <c r="F9" s="7">
        <f>IF(AND(ISNUMBER(C9),C9&gt;0),B9/C9*E9,0)</f>
        <v>0.25</v>
      </c>
    </row>
    <row r="10">
      <c r="A10" s="3" t="inlineStr">
        <is>
          <t xml:space="preserve">Sauce</t>
        </is>
      </c>
      <c r="B10" s="4">
        <v>12.0</v>
      </c>
      <c r="C10" s="5">
        <v>64</v>
      </c>
      <c r="D10" s="3" t="inlineStr">
        <is>
          <t xml:space="preserve">oz</t>
        </is>
      </c>
      <c r="E10" s="5">
        <v>1</v>
      </c>
      <c r="F10" s="7">
        <f>IF(AND(ISNUMBER(C10),C10&gt;0),B10/C10*E10,0)</f>
        <v>0.1875</v>
      </c>
    </row>
    <row r="11">
      <c r="A11" s="3"/>
      <c r="B11" s="4"/>
      <c r="C11" s="5"/>
      <c r="D11" s="3"/>
      <c r="E11" s="5"/>
      <c r="F11" s="7">
        <f>IF(AND(ISNUMBER(C11),C11&gt;0),B11/C11*E11,0)</f>
        <v>0.0</v>
      </c>
    </row>
    <row r="12">
      <c r="A12" s="3"/>
      <c r="B12" s="4"/>
      <c r="C12" s="5"/>
      <c r="D12" s="3"/>
      <c r="E12" s="5"/>
      <c r="F12" s="7">
        <f>IF(AND(ISNUMBER(C12),C12&gt;0),B12/C12*E12,0)</f>
        <v>0.0</v>
      </c>
    </row>
    <row r="13">
      <c r="A13" s="3"/>
      <c r="B13" s="4"/>
      <c r="C13" s="5"/>
      <c r="D13" s="3"/>
      <c r="E13" s="5"/>
      <c r="F13" s="7">
        <f>IF(AND(ISNUMBER(C13),C13&gt;0),B13/C13*E13,0)</f>
        <v>0.0</v>
      </c>
    </row>
    <row r="14">
      <c r="A14" s="3"/>
      <c r="B14" s="4"/>
      <c r="C14" s="5"/>
      <c r="D14" s="3"/>
      <c r="E14" s="5"/>
      <c r="F14" s="7">
        <f>IF(AND(ISNUMBER(C14),C14&gt;0),B14/C14*E14,0)</f>
        <v>0.0</v>
      </c>
    </row>
    <row r="15">
      <c r="A15" s="3"/>
      <c r="B15" s="4"/>
      <c r="C15" s="5"/>
      <c r="D15" s="3"/>
      <c r="E15" s="5"/>
      <c r="F15" s="7">
        <f>IF(AND(ISNUMBER(C15),C15&gt;0),B15/C15*E15,0)</f>
        <v>0.0</v>
      </c>
    </row>
    <row r="16">
      <c r="A16" s="3"/>
      <c r="B16" s="4"/>
      <c r="C16" s="5"/>
      <c r="D16" s="3"/>
      <c r="E16" s="5"/>
      <c r="F16" s="7">
        <f>IF(AND(ISNUMBER(C16),C16&gt;0),B16/C16*E16,0)</f>
        <v>0.0</v>
      </c>
    </row>
    <row r="17">
      <c r="A17" s="3"/>
      <c r="B17" s="4"/>
      <c r="C17" s="5"/>
      <c r="D17" s="3"/>
      <c r="E17" s="5"/>
      <c r="F17" s="7">
        <f>IF(AND(ISNUMBER(C17),C17&gt;0),B17/C17*E17,0)</f>
        <v>0.0</v>
      </c>
    </row>
    <row r="18">
      <c r="A18" s="3"/>
      <c r="B18" s="4"/>
      <c r="C18" s="5"/>
      <c r="D18" s="3"/>
      <c r="E18" s="5"/>
      <c r="F18" s="7">
        <f>IF(AND(ISNUMBER(C18),C18&gt;0),B18/C18*E18,0)</f>
        <v>0.0</v>
      </c>
    </row>
    <row r="19">
      <c r="A19" s="3"/>
      <c r="B19" s="4"/>
      <c r="C19" s="5"/>
      <c r="D19" s="3"/>
      <c r="E19" s="5"/>
      <c r="F19" s="7">
        <f>IF(AND(ISNUMBER(C19),C19&gt;0),B19/C19*E19,0)</f>
        <v>0.0</v>
      </c>
    </row>
    <row r="20">
      <c r="A20" s="3"/>
      <c r="B20" s="4"/>
      <c r="C20" s="5"/>
      <c r="D20" s="3"/>
      <c r="E20" s="5"/>
      <c r="F20" s="7">
        <f>IF(AND(ISNUMBER(C20),C20&gt;0),B20/C20*E20,0)</f>
        <v>0.0</v>
      </c>
    </row>
    <row r="21">
      <c r="A21" s="3"/>
      <c r="B21" s="4"/>
      <c r="C21" s="5"/>
      <c r="D21" s="3"/>
      <c r="E21" s="5"/>
      <c r="F21" s="7">
        <f>IF(AND(ISNUMBER(C21),C21&gt;0),B21/C21*E21,0)</f>
        <v>0.0</v>
      </c>
    </row>
    <row r="22">
      <c r="A22" s="3"/>
      <c r="B22" s="4"/>
      <c r="C22" s="5"/>
      <c r="D22" s="3"/>
      <c r="E22" s="5"/>
      <c r="F22" s="7">
        <f>IF(AND(ISNUMBER(C22),C22&gt;0),B22/C22*E22,0)</f>
        <v>0.0</v>
      </c>
    </row>
    <row r="23">
      <c r="A23" s="3"/>
      <c r="B23" s="4"/>
      <c r="C23" s="5"/>
      <c r="D23" s="3"/>
      <c r="E23" s="5"/>
      <c r="F23" s="7">
        <f>IF(AND(ISNUMBER(C23),C23&gt;0),B23/C23*E23,0)</f>
        <v>0.0</v>
      </c>
    </row>
    <row r="24">
      <c r="A24" s="3"/>
      <c r="B24" s="4"/>
      <c r="C24" s="5"/>
      <c r="D24" s="3"/>
      <c r="E24" s="5"/>
      <c r="F24" s="7">
        <f>IF(AND(ISNUMBER(C24),C24&gt;0),B24/C24*E24,0)</f>
        <v>0.0</v>
      </c>
    </row>
    <row r="25">
      <c r="A25" s="3"/>
      <c r="B25" s="4"/>
      <c r="C25" s="5"/>
      <c r="D25" s="3"/>
      <c r="E25" s="5"/>
      <c r="F25" s="7">
        <f>IF(AND(ISNUMBER(C25),C25&gt;0),B25/C25*E25,0)</f>
        <v>0.0</v>
      </c>
    </row>
    <row r="26">
      <c r="A26" s="3"/>
      <c r="B26" s="4"/>
      <c r="C26" s="5"/>
      <c r="D26" s="3"/>
      <c r="E26" s="5"/>
      <c r="F26" s="7">
        <f>IF(AND(ISNUMBER(C26),C26&gt;0),B26/C26*E26,0)</f>
        <v>0.0</v>
      </c>
    </row>
    <row r="28">
      <c r="E28" s="10" t="inlineStr">
        <is>
          <t xml:space="preserve">Plate cost</t>
        </is>
      </c>
      <c r="F28" s="11">
        <f>SUM(F7:F26)</f>
        <v>1.8975</v>
      </c>
    </row>
    <row r="30">
      <c r="A30" s="9" t="inlineStr">
        <is>
          <t xml:space="preserve">Example rows: typed-in sample prices to show the format, not real costs. Replace them with your own invoices.</t>
        </is>
      </c>
    </row>
  </sheetData>
  <mergeCells count="2">
    <mergeCell ref="B4:C4"/>
    <mergeCell ref="A30:F30"/>
  </mergeCells>
  <pageMargins left="0.5" right="0.5" top="0.6" bottom="0.6" header="0.3" footer="0.3"/>
  <pageSetup orientation="landscape" fitToWidth="1" fitToHeight="0"/>
</worksheet>
</file>

<file path=xl/worksheets/sheet3.xml><?xml version="1.0" encoding="utf-8"?>
<worksheet xmlns="http://schemas.openxmlformats.org/spreadsheetml/2006/main" xmlns:r="http://schemas.openxmlformats.org/officeDocument/2006/relationships">
  <sheetViews>
    <sheetView workbookViewId="0" showGridLines="0">
      <pane ySplit="4" topLeftCell="A5" activePane="bottomLeft" state="frozen"/>
    </sheetView>
  </sheetViews>
  <sheetFormatPr defaultRowHeight="15"/>
  <cols>
    <col min="1" max="1" width="32" customWidth="1"/>
    <col min="2" max="2" width="16" customWidth="1"/>
    <col min="3" max="3" width="16" customWidth="1"/>
    <col min="4" max="4" width="17" customWidth="1"/>
    <col min="5" max="5" width="17" customWidth="1"/>
    <col min="6" max="6" width="17" customWidth="1"/>
    <col min="7" max="7" width="17" customWidth="1"/>
  </cols>
  <sheetData>
    <row r="1">
      <c r="A1" s="1" t="inlineStr">
        <is>
          <t xml:space="preserve">Menu Pricing</t>
        </is>
      </c>
    </row>
    <row r="2">
      <c r="A2" s="9" t="inlineStr">
        <is>
          <t xml:space="preserve">Plate cost comes from the Plate Cost tab. The target food cost % is yours to choose.</t>
        </is>
      </c>
    </row>
    <row r="4" ht="30" customHeight="1">
      <c r="A4" s="2" t="inlineStr">
        <is>
          <t xml:space="preserve">Menu item</t>
        </is>
      </c>
      <c r="B4" s="2" t="inlineStr">
        <is>
          <t xml:space="preserve">Plate cost ($)</t>
        </is>
      </c>
      <c r="C4" s="2" t="inlineStr">
        <is>
          <t xml:space="preserve">Target food cost %</t>
        </is>
      </c>
      <c r="D4" s="2" t="inlineStr">
        <is>
          <t xml:space="preserve">Suggested price ($)</t>
        </is>
      </c>
      <c r="E4" s="2" t="inlineStr">
        <is>
          <t xml:space="preserve">Your menu price ($)</t>
        </is>
      </c>
      <c r="F4" s="2" t="inlineStr">
        <is>
          <t xml:space="preserve">Actual food cost %</t>
        </is>
      </c>
      <c r="G4" s="2" t="inlineStr">
        <is>
          <t xml:space="preserve">Profit per plate ($)</t>
        </is>
      </c>
    </row>
    <row r="5">
      <c r="A5" s="3" t="inlineStr">
        <is>
          <t xml:space="preserve">Chicken sandwich (example)</t>
        </is>
      </c>
      <c r="B5" s="7">
        <f>'Plate Cost'!F28</f>
        <v>1.8975</v>
      </c>
      <c r="C5" s="6">
        <v>0.3</v>
      </c>
      <c r="D5" s="7">
        <f>IF(AND(ISNUMBER(C5),C5&gt;0),B5/C5,0)</f>
        <v>6.325</v>
      </c>
      <c r="E5" s="4">
        <v>6.5</v>
      </c>
      <c r="F5" s="8">
        <f>IF(AND(ISNUMBER(E5),E5&gt;0),B5/E5,0)</f>
        <v>0.291923</v>
      </c>
      <c r="G5" s="7">
        <f>IF(AND(ISNUMBER(E5),E5&gt;0),E5-B5,0)</f>
        <v>4.6025</v>
      </c>
    </row>
    <row r="6">
      <c r="A6" s="3"/>
      <c r="B6" s="4"/>
      <c r="C6" s="6"/>
      <c r="D6" s="7">
        <f>IF(AND(ISNUMBER(C6),C6&gt;0),B6/C6,0)</f>
        <v>0.0</v>
      </c>
      <c r="E6" s="4"/>
      <c r="F6" s="8">
        <f>IF(AND(ISNUMBER(E6),E6&gt;0),B6/E6,0)</f>
        <v>0.0</v>
      </c>
      <c r="G6" s="7">
        <f>IF(AND(ISNUMBER(E6),E6&gt;0),E6-B6,0)</f>
        <v>0.0</v>
      </c>
    </row>
    <row r="7">
      <c r="A7" s="3"/>
      <c r="B7" s="4"/>
      <c r="C7" s="6"/>
      <c r="D7" s="7">
        <f>IF(AND(ISNUMBER(C7),C7&gt;0),B7/C7,0)</f>
        <v>0.0</v>
      </c>
      <c r="E7" s="4"/>
      <c r="F7" s="8">
        <f>IF(AND(ISNUMBER(E7),E7&gt;0),B7/E7,0)</f>
        <v>0.0</v>
      </c>
      <c r="G7" s="7">
        <f>IF(AND(ISNUMBER(E7),E7&gt;0),E7-B7,0)</f>
        <v>0.0</v>
      </c>
    </row>
    <row r="8">
      <c r="A8" s="3"/>
      <c r="B8" s="4"/>
      <c r="C8" s="6"/>
      <c r="D8" s="7">
        <f>IF(AND(ISNUMBER(C8),C8&gt;0),B8/C8,0)</f>
        <v>0.0</v>
      </c>
      <c r="E8" s="4"/>
      <c r="F8" s="8">
        <f>IF(AND(ISNUMBER(E8),E8&gt;0),B8/E8,0)</f>
        <v>0.0</v>
      </c>
      <c r="G8" s="7">
        <f>IF(AND(ISNUMBER(E8),E8&gt;0),E8-B8,0)</f>
        <v>0.0</v>
      </c>
    </row>
    <row r="9">
      <c r="A9" s="3"/>
      <c r="B9" s="4"/>
      <c r="C9" s="6"/>
      <c r="D9" s="7">
        <f>IF(AND(ISNUMBER(C9),C9&gt;0),B9/C9,0)</f>
        <v>0.0</v>
      </c>
      <c r="E9" s="4"/>
      <c r="F9" s="8">
        <f>IF(AND(ISNUMBER(E9),E9&gt;0),B9/E9,0)</f>
        <v>0.0</v>
      </c>
      <c r="G9" s="7">
        <f>IF(AND(ISNUMBER(E9),E9&gt;0),E9-B9,0)</f>
        <v>0.0</v>
      </c>
    </row>
    <row r="10">
      <c r="A10" s="3"/>
      <c r="B10" s="4"/>
      <c r="C10" s="6"/>
      <c r="D10" s="7">
        <f>IF(AND(ISNUMBER(C10),C10&gt;0),B10/C10,0)</f>
        <v>0.0</v>
      </c>
      <c r="E10" s="4"/>
      <c r="F10" s="8">
        <f>IF(AND(ISNUMBER(E10),E10&gt;0),B10/E10,0)</f>
        <v>0.0</v>
      </c>
      <c r="G10" s="7">
        <f>IF(AND(ISNUMBER(E10),E10&gt;0),E10-B10,0)</f>
        <v>0.0</v>
      </c>
    </row>
    <row r="11">
      <c r="A11" s="3"/>
      <c r="B11" s="4"/>
      <c r="C11" s="6"/>
      <c r="D11" s="7">
        <f>IF(AND(ISNUMBER(C11),C11&gt;0),B11/C11,0)</f>
        <v>0.0</v>
      </c>
      <c r="E11" s="4"/>
      <c r="F11" s="8">
        <f>IF(AND(ISNUMBER(E11),E11&gt;0),B11/E11,0)</f>
        <v>0.0</v>
      </c>
      <c r="G11" s="7">
        <f>IF(AND(ISNUMBER(E11),E11&gt;0),E11-B11,0)</f>
        <v>0.0</v>
      </c>
    </row>
    <row r="12">
      <c r="A12" s="3"/>
      <c r="B12" s="4"/>
      <c r="C12" s="6"/>
      <c r="D12" s="7">
        <f>IF(AND(ISNUMBER(C12),C12&gt;0),B12/C12,0)</f>
        <v>0.0</v>
      </c>
      <c r="E12" s="4"/>
      <c r="F12" s="8">
        <f>IF(AND(ISNUMBER(E12),E12&gt;0),B12/E12,0)</f>
        <v>0.0</v>
      </c>
      <c r="G12" s="7">
        <f>IF(AND(ISNUMBER(E12),E12&gt;0),E12-B12,0)</f>
        <v>0.0</v>
      </c>
    </row>
    <row r="13">
      <c r="A13" s="3"/>
      <c r="B13" s="4"/>
      <c r="C13" s="6"/>
      <c r="D13" s="7">
        <f>IF(AND(ISNUMBER(C13),C13&gt;0),B13/C13,0)</f>
        <v>0.0</v>
      </c>
      <c r="E13" s="4"/>
      <c r="F13" s="8">
        <f>IF(AND(ISNUMBER(E13),E13&gt;0),B13/E13,0)</f>
        <v>0.0</v>
      </c>
      <c r="G13" s="7">
        <f>IF(AND(ISNUMBER(E13),E13&gt;0),E13-B13,0)</f>
        <v>0.0</v>
      </c>
    </row>
    <row r="14">
      <c r="A14" s="3"/>
      <c r="B14" s="4"/>
      <c r="C14" s="6"/>
      <c r="D14" s="7">
        <f>IF(AND(ISNUMBER(C14),C14&gt;0),B14/C14,0)</f>
        <v>0.0</v>
      </c>
      <c r="E14" s="4"/>
      <c r="F14" s="8">
        <f>IF(AND(ISNUMBER(E14),E14&gt;0),B14/E14,0)</f>
        <v>0.0</v>
      </c>
      <c r="G14" s="7">
        <f>IF(AND(ISNUMBER(E14),E14&gt;0),E14-B14,0)</f>
        <v>0.0</v>
      </c>
    </row>
    <row r="15">
      <c r="A15" s="3"/>
      <c r="B15" s="4"/>
      <c r="C15" s="6"/>
      <c r="D15" s="7">
        <f>IF(AND(ISNUMBER(C15),C15&gt;0),B15/C15,0)</f>
        <v>0.0</v>
      </c>
      <c r="E15" s="4"/>
      <c r="F15" s="8">
        <f>IF(AND(ISNUMBER(E15),E15&gt;0),B15/E15,0)</f>
        <v>0.0</v>
      </c>
      <c r="G15" s="7">
        <f>IF(AND(ISNUMBER(E15),E15&gt;0),E15-B15,0)</f>
        <v>0.0</v>
      </c>
    </row>
    <row r="16">
      <c r="A16" s="3"/>
      <c r="B16" s="4"/>
      <c r="C16" s="6"/>
      <c r="D16" s="7">
        <f>IF(AND(ISNUMBER(C16),C16&gt;0),B16/C16,0)</f>
        <v>0.0</v>
      </c>
      <c r="E16" s="4"/>
      <c r="F16" s="8">
        <f>IF(AND(ISNUMBER(E16),E16&gt;0),B16/E16,0)</f>
        <v>0.0</v>
      </c>
      <c r="G16" s="7">
        <f>IF(AND(ISNUMBER(E16),E16&gt;0),E16-B16,0)</f>
        <v>0.0</v>
      </c>
    </row>
    <row r="17">
      <c r="A17" s="3"/>
      <c r="B17" s="4"/>
      <c r="C17" s="6"/>
      <c r="D17" s="7">
        <f>IF(AND(ISNUMBER(C17),C17&gt;0),B17/C17,0)</f>
        <v>0.0</v>
      </c>
      <c r="E17" s="4"/>
      <c r="F17" s="8">
        <f>IF(AND(ISNUMBER(E17),E17&gt;0),B17/E17,0)</f>
        <v>0.0</v>
      </c>
      <c r="G17" s="7">
        <f>IF(AND(ISNUMBER(E17),E17&gt;0),E17-B17,0)</f>
        <v>0.0</v>
      </c>
    </row>
    <row r="18">
      <c r="A18" s="3"/>
      <c r="B18" s="4"/>
      <c r="C18" s="6"/>
      <c r="D18" s="7">
        <f>IF(AND(ISNUMBER(C18),C18&gt;0),B18/C18,0)</f>
        <v>0.0</v>
      </c>
      <c r="E18" s="4"/>
      <c r="F18" s="8">
        <f>IF(AND(ISNUMBER(E18),E18&gt;0),B18/E18,0)</f>
        <v>0.0</v>
      </c>
      <c r="G18" s="7">
        <f>IF(AND(ISNUMBER(E18),E18&gt;0),E18-B18,0)</f>
        <v>0.0</v>
      </c>
    </row>
    <row r="19">
      <c r="A19" s="3"/>
      <c r="B19" s="4"/>
      <c r="C19" s="6"/>
      <c r="D19" s="7">
        <f>IF(AND(ISNUMBER(C19),C19&gt;0),B19/C19,0)</f>
        <v>0.0</v>
      </c>
      <c r="E19" s="4"/>
      <c r="F19" s="8">
        <f>IF(AND(ISNUMBER(E19),E19&gt;0),B19/E19,0)</f>
        <v>0.0</v>
      </c>
      <c r="G19" s="7">
        <f>IF(AND(ISNUMBER(E19),E19&gt;0),E19-B19,0)</f>
        <v>0.0</v>
      </c>
    </row>
    <row r="20">
      <c r="A20" s="3"/>
      <c r="B20" s="4"/>
      <c r="C20" s="6"/>
      <c r="D20" s="7">
        <f>IF(AND(ISNUMBER(C20),C20&gt;0),B20/C20,0)</f>
        <v>0.0</v>
      </c>
      <c r="E20" s="4"/>
      <c r="F20" s="8">
        <f>IF(AND(ISNUMBER(E20),E20&gt;0),B20/E20,0)</f>
        <v>0.0</v>
      </c>
      <c r="G20" s="7">
        <f>IF(AND(ISNUMBER(E20),E20&gt;0),E20-B20,0)</f>
        <v>0.0</v>
      </c>
    </row>
    <row r="21">
      <c r="A21" s="3"/>
      <c r="B21" s="4"/>
      <c r="C21" s="6"/>
      <c r="D21" s="7">
        <f>IF(AND(ISNUMBER(C21),C21&gt;0),B21/C21,0)</f>
        <v>0.0</v>
      </c>
      <c r="E21" s="4"/>
      <c r="F21" s="8">
        <f>IF(AND(ISNUMBER(E21),E21&gt;0),B21/E21,0)</f>
        <v>0.0</v>
      </c>
      <c r="G21" s="7">
        <f>IF(AND(ISNUMBER(E21),E21&gt;0),E21-B21,0)</f>
        <v>0.0</v>
      </c>
    </row>
    <row r="22">
      <c r="A22" s="3"/>
      <c r="B22" s="4"/>
      <c r="C22" s="6"/>
      <c r="D22" s="7">
        <f>IF(AND(ISNUMBER(C22),C22&gt;0),B22/C22,0)</f>
        <v>0.0</v>
      </c>
      <c r="E22" s="4"/>
      <c r="F22" s="8">
        <f>IF(AND(ISNUMBER(E22),E22&gt;0),B22/E22,0)</f>
        <v>0.0</v>
      </c>
      <c r="G22" s="7">
        <f>IF(AND(ISNUMBER(E22),E22&gt;0),E22-B22,0)</f>
        <v>0.0</v>
      </c>
    </row>
    <row r="23">
      <c r="A23" s="3"/>
      <c r="B23" s="4"/>
      <c r="C23" s="6"/>
      <c r="D23" s="7">
        <f>IF(AND(ISNUMBER(C23),C23&gt;0),B23/C23,0)</f>
        <v>0.0</v>
      </c>
      <c r="E23" s="4"/>
      <c r="F23" s="8">
        <f>IF(AND(ISNUMBER(E23),E23&gt;0),B23/E23,0)</f>
        <v>0.0</v>
      </c>
      <c r="G23" s="7">
        <f>IF(AND(ISNUMBER(E23),E23&gt;0),E23-B23,0)</f>
        <v>0.0</v>
      </c>
    </row>
    <row r="24">
      <c r="A24" s="3"/>
      <c r="B24" s="4"/>
      <c r="C24" s="6"/>
      <c r="D24" s="7">
        <f>IF(AND(ISNUMBER(C24),C24&gt;0),B24/C24,0)</f>
        <v>0.0</v>
      </c>
      <c r="E24" s="4"/>
      <c r="F24" s="8">
        <f>IF(AND(ISNUMBER(E24),E24&gt;0),B24/E24,0)</f>
        <v>0.0</v>
      </c>
      <c r="G24" s="7">
        <f>IF(AND(ISNUMBER(E24),E24&gt;0),E24-B24,0)</f>
        <v>0.0</v>
      </c>
    </row>
    <row r="25">
      <c r="A25" s="3"/>
      <c r="B25" s="4"/>
      <c r="C25" s="6"/>
      <c r="D25" s="7">
        <f>IF(AND(ISNUMBER(C25),C25&gt;0),B25/C25,0)</f>
        <v>0.0</v>
      </c>
      <c r="E25" s="4"/>
      <c r="F25" s="8">
        <f>IF(AND(ISNUMBER(E25),E25&gt;0),B25/E25,0)</f>
        <v>0.0</v>
      </c>
      <c r="G25" s="7">
        <f>IF(AND(ISNUMBER(E25),E25&gt;0),E25-B25,0)</f>
        <v>0.0</v>
      </c>
    </row>
    <row r="26">
      <c r="A26" s="3"/>
      <c r="B26" s="4"/>
      <c r="C26" s="6"/>
      <c r="D26" s="7">
        <f>IF(AND(ISNUMBER(C26),C26&gt;0),B26/C26,0)</f>
        <v>0.0</v>
      </c>
      <c r="E26" s="4"/>
      <c r="F26" s="8">
        <f>IF(AND(ISNUMBER(E26),E26&gt;0),B26/E26,0)</f>
        <v>0.0</v>
      </c>
      <c r="G26" s="7">
        <f>IF(AND(ISNUMBER(E26),E26&gt;0),E26-B26,0)</f>
        <v>0.0</v>
      </c>
    </row>
    <row r="27">
      <c r="A27" s="3"/>
      <c r="B27" s="4"/>
      <c r="C27" s="6"/>
      <c r="D27" s="7">
        <f>IF(AND(ISNUMBER(C27),C27&gt;0),B27/C27,0)</f>
        <v>0.0</v>
      </c>
      <c r="E27" s="4"/>
      <c r="F27" s="8">
        <f>IF(AND(ISNUMBER(E27),E27&gt;0),B27/E27,0)</f>
        <v>0.0</v>
      </c>
      <c r="G27" s="7">
        <f>IF(AND(ISNUMBER(E27),E27&gt;0),E27-B27,0)</f>
        <v>0.0</v>
      </c>
    </row>
    <row r="28">
      <c r="A28" s="3"/>
      <c r="B28" s="4"/>
      <c r="C28" s="6"/>
      <c r="D28" s="7">
        <f>IF(AND(ISNUMBER(C28),C28&gt;0),B28/C28,0)</f>
        <v>0.0</v>
      </c>
      <c r="E28" s="4"/>
      <c r="F28" s="8">
        <f>IF(AND(ISNUMBER(E28),E28&gt;0),B28/E28,0)</f>
        <v>0.0</v>
      </c>
      <c r="G28" s="7">
        <f>IF(AND(ISNUMBER(E28),E28&gt;0),E28-B28,0)</f>
        <v>0.0</v>
      </c>
    </row>
    <row r="29">
      <c r="A29" s="3"/>
      <c r="B29" s="4"/>
      <c r="C29" s="6"/>
      <c r="D29" s="7">
        <f>IF(AND(ISNUMBER(C29),C29&gt;0),B29/C29,0)</f>
        <v>0.0</v>
      </c>
      <c r="E29" s="4"/>
      <c r="F29" s="8">
        <f>IF(AND(ISNUMBER(E29),E29&gt;0),B29/E29,0)</f>
        <v>0.0</v>
      </c>
      <c r="G29" s="7">
        <f>IF(AND(ISNUMBER(E29),E29&gt;0),E29-B29,0)</f>
        <v>0.0</v>
      </c>
    </row>
    <row r="30">
      <c r="A30" s="3"/>
      <c r="B30" s="4"/>
      <c r="C30" s="6"/>
      <c r="D30" s="7">
        <f>IF(AND(ISNUMBER(C30),C30&gt;0),B30/C30,0)</f>
        <v>0.0</v>
      </c>
      <c r="E30" s="4"/>
      <c r="F30" s="8">
        <f>IF(AND(ISNUMBER(E30),E30&gt;0),B30/E30,0)</f>
        <v>0.0</v>
      </c>
      <c r="G30" s="7">
        <f>IF(AND(ISNUMBER(E30),E30&gt;0),E30-B30,0)</f>
        <v>0.0</v>
      </c>
    </row>
    <row r="31">
      <c r="A31" s="3"/>
      <c r="B31" s="4"/>
      <c r="C31" s="6"/>
      <c r="D31" s="7">
        <f>IF(AND(ISNUMBER(C31),C31&gt;0),B31/C31,0)</f>
        <v>0.0</v>
      </c>
      <c r="E31" s="4"/>
      <c r="F31" s="8">
        <f>IF(AND(ISNUMBER(E31),E31&gt;0),B31/E31,0)</f>
        <v>0.0</v>
      </c>
      <c r="G31" s="7">
        <f>IF(AND(ISNUMBER(E31),E31&gt;0),E31-B31,0)</f>
        <v>0.0</v>
      </c>
    </row>
    <row r="32">
      <c r="A32" s="3"/>
      <c r="B32" s="4"/>
      <c r="C32" s="6"/>
      <c r="D32" s="7">
        <f>IF(AND(ISNUMBER(C32),C32&gt;0),B32/C32,0)</f>
        <v>0.0</v>
      </c>
      <c r="E32" s="4"/>
      <c r="F32" s="8">
        <f>IF(AND(ISNUMBER(E32),E32&gt;0),B32/E32,0)</f>
        <v>0.0</v>
      </c>
      <c r="G32" s="7">
        <f>IF(AND(ISNUMBER(E32),E32&gt;0),E32-B32,0)</f>
        <v>0.0</v>
      </c>
    </row>
    <row r="33">
      <c r="A33" s="3"/>
      <c r="B33" s="4"/>
      <c r="C33" s="6"/>
      <c r="D33" s="7">
        <f>IF(AND(ISNUMBER(C33),C33&gt;0),B33/C33,0)</f>
        <v>0.0</v>
      </c>
      <c r="E33" s="4"/>
      <c r="F33" s="8">
        <f>IF(AND(ISNUMBER(E33),E33&gt;0),B33/E33,0)</f>
        <v>0.0</v>
      </c>
      <c r="G33" s="7">
        <f>IF(AND(ISNUMBER(E33),E33&gt;0),E33-B33,0)</f>
        <v>0.0</v>
      </c>
    </row>
    <row r="34">
      <c r="A34" s="3"/>
      <c r="B34" s="4"/>
      <c r="C34" s="6"/>
      <c r="D34" s="7">
        <f>IF(AND(ISNUMBER(C34),C34&gt;0),B34/C34,0)</f>
        <v>0.0</v>
      </c>
      <c r="E34" s="4"/>
      <c r="F34" s="8">
        <f>IF(AND(ISNUMBER(E34),E34&gt;0),B34/E34,0)</f>
        <v>0.0</v>
      </c>
      <c r="G34" s="7">
        <f>IF(AND(ISNUMBER(E34),E34&gt;0),E34-B34,0)</f>
        <v>0.0</v>
      </c>
    </row>
    <row r="36" ht="30" customHeight="1">
      <c r="A36" s="9" t="inlineStr">
        <is>
          <t xml:space="preserve">Row 5 is an example: its plate cost links to the Plate Cost tab, and its 30% target and $6.50 price are sample inputs, not recommendations. For your own items, type the plate cost straight into column B.</t>
        </is>
      </c>
    </row>
  </sheetData>
  <mergeCells count="1">
    <mergeCell ref="A36:G36"/>
  </mergeCells>
  <pageMargins left="0.5" right="0.5" top="0.6" bottom="0.6" header="0.3" footer="0.3"/>
  <pageSetup orientation="landscape" fitToWidth="1" fitToHeight="0"/>
</worksheet>
</file>

<file path=docProps/core.xml><?xml version="1.0" encoding="utf-8"?>
<cp:coreProperties xmlns:cp="http://schemas.openxmlformats.org/package/2006/metadata/core-properties" xmlns:dc="http://purl.org/dc/elements/1.1/">
  <dc:title>Food Cost &amp; Menu Pricing Calculator</dc:title>
  <dc:creator>EPAY POS</dc:creator>
</cp:coreProperties>
</file>