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How to use" sheetId="1" r:id="rId1"/>
    <sheet name="Pour Cost" sheetId="2" r:id="rId2"/>
    <sheet name="Inventory Count" sheetId="3" r:id="rId3"/>
  </sheets>
  <calcPr calcId="191029" fullCalcOnLoad="1"/>
</workbook>
</file>

<file path=xl/styles.xml><?xml version="1.0" encoding="utf-8"?>
<styleSheet xmlns="http://schemas.openxmlformats.org/spreadsheetml/2006/main">
  <numFmts count="3">
    <numFmt numFmtId="164" formatCode="&quot;$&quot;#,##0.00;(&quot;$&quot;#,##0.00);&quot;-&quot;"/>
    <numFmt numFmtId="165" formatCode="0.0%;(0.0%);&quot;-&quot;"/>
    <numFmt numFmtId="166" formatCode="#,##0.00;(#,##0.00);&quot;-&quot;"/>
  </numFmts>
  <fonts count="7">
    <font>
      <sz val="10"/>
      <color rgb="FF0A1520"/>
      <name val="Arial"/>
    </font>
    <font>
      <b/>
      <sz val="16"/>
      <color rgb="FF0E6FA0"/>
      <name val="Arial"/>
    </font>
    <font>
      <b/>
      <sz val="10"/>
      <color rgb="FFFFFFFF"/>
      <name val="Arial"/>
    </font>
    <font>
      <sz val="10"/>
      <color rgb="FF0000FF"/>
      <name val="Arial"/>
    </font>
    <font>
      <i/>
      <sz val="9"/>
      <color rgb="FF4A5F70"/>
      <name val="Arial"/>
    </font>
    <font>
      <b/>
      <sz val="10"/>
      <color rgb="FF0A1520"/>
      <name val="Arial"/>
    </font>
    <font>
      <b/>
      <sz val="11"/>
      <color rgb="FF0A1520"/>
      <name val="Arial"/>
    </font>
  </fonts>
  <fills count="4">
    <fill>
      <patternFill patternType="none"/>
    </fill>
    <fill>
      <patternFill patternType="gray125"/>
    </fill>
    <fill>
      <patternFill patternType="solid">
        <fgColor rgb="FF0E6FA0"/>
        <bgColor indexed="64"/>
      </patternFill>
    </fill>
    <fill>
      <patternFill patternType="solid">
        <fgColor rgb="FFFFF6D5"/>
        <bgColor indexed="64"/>
      </patternFill>
    </fill>
  </fills>
  <borders count="3">
    <border>
      <left/>
      <right/>
      <top/>
      <bottom/>
      <diagonal/>
    </border>
    <border>
      <left style="thin">
        <color rgb="FFCBDCE7"/>
      </left>
      <right style="thin">
        <color rgb="FFCBDCE7"/>
      </right>
      <top style="thin">
        <color rgb="FFCBDCE7"/>
      </top>
      <bottom style="thin">
        <color rgb="FFCBDCE7"/>
      </bottom>
      <diagonal/>
    </border>
    <border>
      <left/>
      <right/>
      <top style="medium">
        <color rgb="FF0E6FA0"/>
      </top>
      <bottom/>
      <diagonal/>
    </border>
  </borders>
  <cellStyleXfs count="1">
    <xf numFmtId="0" fontId="0" fillId="0" borderId="0"/>
  </cellStyleXfs>
  <cellXfs count="15">
    <xf numFmtId="0" fontId="0" fillId="0" borderId="0" xfId="0"/>
    <xf numFmtId="0" fontId="1" fillId="0" borderId="0" xfId="0" applyFont="1"/>
    <xf numFmtId="0" fontId="2" fillId="2" borderId="1" xfId="0" applyFont="1" applyFill="1" applyBorder="1" applyAlignment="1">
      <alignment wrapText="1" vertical="center"/>
    </xf>
    <xf numFmtId="0" fontId="3" fillId="3" borderId="1" xfId="0" applyFont="1" applyFill="1" applyBorder="1"/>
    <xf numFmtId="164" fontId="3" fillId="3" borderId="1" xfId="0" applyNumberFormat="1" applyFont="1" applyFill="1" applyBorder="1"/>
    <xf numFmtId="166" fontId="3" fillId="3" borderId="1" xfId="0" applyNumberFormat="1" applyFont="1" applyFill="1" applyBorder="1"/>
    <xf numFmtId="165" fontId="3" fillId="3" borderId="1" xfId="0" applyNumberFormat="1" applyFont="1" applyFill="1" applyBorder="1"/>
    <xf numFmtId="164" fontId="0" fillId="0" borderId="1" xfId="0" applyNumberFormat="1" applyBorder="1"/>
    <xf numFmtId="165" fontId="0" fillId="0" borderId="1" xfId="0" applyNumberFormat="1" applyBorder="1"/>
    <xf numFmtId="0" fontId="4" fillId="0" borderId="0" xfId="0" applyFont="1" applyAlignment="1">
      <alignment wrapText="1" vertical="top"/>
    </xf>
    <xf numFmtId="0" fontId="5" fillId="0" borderId="0" xfId="0" applyFont="1"/>
    <xf numFmtId="164" fontId="6" fillId="0" borderId="2" xfId="0" applyNumberFormat="1" applyFont="1" applyBorder="1"/>
    <xf numFmtId="0" fontId="0" fillId="0" borderId="0" xfId="0" applyAlignment="1">
      <alignment wrapText="1" vertical="top"/>
    </xf>
    <xf numFmtId="0" fontId="6" fillId="0" borderId="0" xfId="0" applyFont="1"/>
    <xf numFmtId="166" fontId="0" fillId="0" borderId="1" xfId="0" applyNumberFormat="1" applyBorder="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showGridLines="0"/>
  </sheetViews>
  <sheetFormatPr defaultRowHeight="15"/>
  <cols>
    <col min="1" max="1" width="4" customWidth="1"/>
    <col min="2" max="2" width="100" customWidth="1"/>
  </cols>
  <sheetData>
    <row r="2">
      <c r="B2" s="1" t="inlineStr">
        <is>
          <t xml:space="preserve">EPAY POS  |  Bar Inventory &amp; Pour Cost Calculator</t>
        </is>
      </c>
    </row>
    <row r="3">
      <c r="B3" s="9" t="inlineStr">
        <is>
          <t xml:space="preserve">Know what every pour costs you, and catch liquor that's leaving without being rung in.</t>
        </is>
      </c>
    </row>
    <row r="5">
      <c r="B5" s="13" t="inlineStr">
        <is>
          <t xml:space="preserve">How it works</t>
        </is>
      </c>
    </row>
    <row r="6" ht="30" customHeight="1">
      <c r="B6" s="12" t="inlineStr">
        <is>
          <t xml:space="preserve">1.  Pour Cost tab: one row per product. Enter the bottle size, what you pay for the bottle, your pour size and what you charge. It works out pours per bottle, cost per pour, pour cost % and profit per drink.</t>
        </is>
      </c>
    </row>
    <row r="7" ht="30" customHeight="1">
      <c r="B7" s="12" t="inlineStr">
        <is>
          <t xml:space="preserve">2.  Inventory Count tab: count once a week, same day and time. Enter the opening count, what came in, the closing count and that product's sales from your POS. It shows what you used and your real pour cost %.</t>
        </is>
      </c>
    </row>
    <row r="8" ht="30" customHeight="1">
      <c r="B8" s="12" t="inlineStr">
        <is>
          <t xml:space="preserve">3.  Compare the two. When real pour cost runs higher than the recipe says it should, liquor is going out as over-pours, spills, comps or drinks that were never rung in.</t>
        </is>
      </c>
    </row>
    <row r="9">
      <c r="B9" s="12" t="inlineStr">
        <is>
          <t xml:space="preserve"/>
        </is>
      </c>
    </row>
    <row r="10">
      <c r="B10" s="13" t="inlineStr">
        <is>
          <t xml:space="preserve">Which cells to edit</t>
        </is>
      </c>
    </row>
    <row r="11" ht="30" customHeight="1">
      <c r="B11" s="12" t="inlineStr">
        <is>
          <t xml:space="preserve">Yellow cells with blue numbers are yours to fill in. White cells are formulas: leave them alone. The first row on each tab is an example. Type over it or clear it.</t>
        </is>
      </c>
    </row>
    <row r="12">
      <c r="B12" s="12" t="inlineStr">
        <is>
          <t xml:space="preserve">Count partial bottles as decimals: a bottle about half full is 0.5.</t>
        </is>
      </c>
    </row>
    <row r="13">
      <c r="B13" s="12" t="inlineStr">
        <is>
          <t xml:space="preserve"/>
        </is>
      </c>
    </row>
    <row r="14">
      <c r="B14" s="13" t="inlineStr">
        <is>
          <t xml:space="preserve">The formulas</t>
        </is>
      </c>
    </row>
    <row r="15">
      <c r="B15" s="12" t="inlineStr">
        <is>
          <t xml:space="preserve">Pours per bottle  =  bottle size (oz)  ÷  pour size (oz)</t>
        </is>
      </c>
    </row>
    <row r="16">
      <c r="B16" s="12" t="inlineStr">
        <is>
          <t xml:space="preserve">Cost per pour  =  bottle cost  ÷  bottle size  ×  pour size</t>
        </is>
      </c>
    </row>
    <row r="17">
      <c r="B17" s="12" t="inlineStr">
        <is>
          <t xml:space="preserve">Pour cost %  =  cost per pour  ÷  drink price</t>
        </is>
      </c>
    </row>
    <row r="18">
      <c r="B18" s="12" t="inlineStr">
        <is>
          <t xml:space="preserve">Used  =  opening count  +  received  −  closing count</t>
        </is>
      </c>
    </row>
    <row r="19">
      <c r="B19" s="12" t="inlineStr">
        <is>
          <t xml:space="preserve">Real pour cost %  =  cost of what you used  ÷  sales of that product</t>
        </is>
      </c>
    </row>
    <row r="20">
      <c r="B20" s="12" t="inlineStr">
        <is>
          <t xml:space="preserve"/>
        </is>
      </c>
    </row>
    <row r="21">
      <c r="B21" s="9" t="inlineStr">
        <is>
          <t xml:space="preserve">Bottle sizes in ounces:  375 ml = 12.7 oz  ·  750 ml = 25.4 oz  ·  1 liter = 33.8 oz  ·  1.75 liter = 59.2 oz</t>
        </is>
      </c>
    </row>
    <row r="22">
      <c r="B22" s="9" t="inlineStr">
        <is>
          <t xml:space="preserve">Your target pour cost % is your call. Set it from your own prices and costs.</t>
        </is>
      </c>
    </row>
    <row r="23">
      <c r="B23" s="12" t="inlineStr">
        <is>
          <t xml:space="preserve"/>
        </is>
      </c>
    </row>
    <row r="24">
      <c r="B24" s="13" t="inlineStr">
        <is>
          <t xml:space="preserve">From EPAY POS</t>
        </is>
      </c>
    </row>
    <row r="25" ht="30" customHeight="1">
      <c r="B25" s="12" t="inlineStr">
        <is>
          <t xml:space="preserve">EPAY POS integrates with AndroBar, a liquor pouring system (androbar.com). If your counts keep showing more liquor used than you sold, ask us how AndroBar works with EPAY POS at your bar.</t>
        </is>
      </c>
    </row>
    <row r="26" ht="30" customHeight="1">
      <c r="B26" s="12" t="inlineStr">
        <is>
          <t xml:space="preserve">Tabs, pre-auth and a bar-ready POS: epaypos.net/bar-lounge  ·  Free statement review: epaypos.net/offers/statement-review  ·  947-228-7226 ext. 3</t>
        </is>
      </c>
    </row>
  </sheetData>
  <pageMargins left="0.5" right="0.5" top="0.6" bottom="0.6" header="0.3" footer="0.3"/>
  <pageSetup orientation="landscape" fitToWidth="1" fitToHeight="0"/>
</worksheet>
</file>

<file path=xl/worksheets/sheet2.xml><?xml version="1.0" encoding="utf-8"?>
<worksheet xmlns="http://schemas.openxmlformats.org/spreadsheetml/2006/main" xmlns:r="http://schemas.openxmlformats.org/officeDocument/2006/relationships">
  <sheetViews>
    <sheetView workbookViewId="0" showGridLines="0">
      <pane ySplit="6" topLeftCell="A7" activePane="bottomLeft" state="frozen"/>
    </sheetView>
  </sheetViews>
  <sheetFormatPr defaultRowHeight="15"/>
  <cols>
    <col min="1" max="1" width="30" customWidth="1"/>
    <col min="2" max="2" width="14" customWidth="1"/>
    <col min="3" max="3" width="14" customWidth="1"/>
    <col min="4" max="4" width="15" customWidth="1"/>
    <col min="5" max="5" width="13" customWidth="1"/>
    <col min="6" max="6" width="15" customWidth="1"/>
    <col min="7" max="7" width="13" customWidth="1"/>
    <col min="8" max="8" width="14" customWidth="1"/>
    <col min="9" max="9" width="13" customWidth="1"/>
    <col min="10" max="10" width="15" customWidth="1"/>
    <col min="11" max="11" width="13" customWidth="1"/>
  </cols>
  <sheetData>
    <row r="1">
      <c r="A1" s="1" t="inlineStr">
        <is>
          <t xml:space="preserve">Pour Cost</t>
        </is>
      </c>
    </row>
    <row r="2">
      <c r="A2" s="9" t="inlineStr">
        <is>
          <t xml:space="preserve">One row per bottle you pour from. Bottle size and pour size in ounces.</t>
        </is>
      </c>
    </row>
    <row r="4">
      <c r="A4" s="10" t="inlineStr">
        <is>
          <t xml:space="preserve">Your target pour cost %</t>
        </is>
      </c>
      <c r="C4" s="6"/>
      <c r="D4" s="9" t="inlineStr">
        <is>
          <t xml:space="preserve">Optional. Rows above it get flagged.</t>
        </is>
      </c>
    </row>
    <row r="6" ht="30" customHeight="1">
      <c r="A6" s="2" t="inlineStr">
        <is>
          <t xml:space="preserve">Product</t>
        </is>
      </c>
      <c r="B6" s="2" t="inlineStr">
        <is>
          <t xml:space="preserve">Category</t>
        </is>
      </c>
      <c r="C6" s="2" t="inlineStr">
        <is>
          <t xml:space="preserve">Bottle size (oz)</t>
        </is>
      </c>
      <c r="D6" s="2" t="inlineStr">
        <is>
          <t xml:space="preserve">Bottle cost ($)</t>
        </is>
      </c>
      <c r="E6" s="2" t="inlineStr">
        <is>
          <t xml:space="preserve">Pour size (oz)</t>
        </is>
      </c>
      <c r="F6" s="2" t="inlineStr">
        <is>
          <t xml:space="preserve">Drink price ($)</t>
        </is>
      </c>
      <c r="G6" s="2" t="inlineStr">
        <is>
          <t xml:space="preserve">Pours per bottle</t>
        </is>
      </c>
      <c r="H6" s="2" t="inlineStr">
        <is>
          <t xml:space="preserve">Cost per pour ($)</t>
        </is>
      </c>
      <c r="I6" s="2" t="inlineStr">
        <is>
          <t xml:space="preserve">Pour cost %</t>
        </is>
      </c>
      <c r="J6" s="2" t="inlineStr">
        <is>
          <t xml:space="preserve">Profit per drink ($)</t>
        </is>
      </c>
      <c r="K6" s="2" t="inlineStr">
        <is>
          <t xml:space="preserve">Over target?</t>
        </is>
      </c>
    </row>
    <row r="7">
      <c r="A7" s="3" t="inlineStr">
        <is>
          <t xml:space="preserve">House vodka (example)</t>
        </is>
      </c>
      <c r="B7" s="3" t="inlineStr">
        <is>
          <t xml:space="preserve">Vodka</t>
        </is>
      </c>
      <c r="C7" s="5">
        <v>33.8</v>
      </c>
      <c r="D7" s="4">
        <v>18.0</v>
      </c>
      <c r="E7" s="5">
        <v>1.5</v>
      </c>
      <c r="F7" s="4">
        <v>7.0</v>
      </c>
      <c r="G7" s="14">
        <f>IF(AND(ISNUMBER(E7),E7&gt;0),C7/E7,0)</f>
        <v>22.533333</v>
      </c>
      <c r="H7" s="7">
        <f>IF(AND(ISNUMBER(C7),C7&gt;0),D7/C7*E7,0)</f>
        <v>0.798817</v>
      </c>
      <c r="I7" s="8">
        <f>IF(AND(ISNUMBER(F7),F7&gt;0),H7/F7,0)</f>
        <v>0.114117</v>
      </c>
      <c r="J7" s="7">
        <f>IF(AND(ISNUMBER(F7),F7&gt;0),F7-H7,0)</f>
        <v>6.201183</v>
      </c>
      <c r="K7" s="7">
        <f>IF(AND(ISNUMBER($C$4),$C$4&gt;0,I7&gt;$C$4),"Over","")</f>
        <v/>
      </c>
    </row>
    <row r="8">
      <c r="A8" s="3"/>
      <c r="B8" s="3"/>
      <c r="C8" s="5"/>
      <c r="D8" s="4"/>
      <c r="E8" s="5"/>
      <c r="F8" s="4"/>
      <c r="G8" s="14">
        <f>IF(AND(ISNUMBER(E8),E8&gt;0),C8/E8,0)</f>
        <v>0.0</v>
      </c>
      <c r="H8" s="7">
        <f>IF(AND(ISNUMBER(C8),C8&gt;0),D8/C8*E8,0)</f>
        <v>0.0</v>
      </c>
      <c r="I8" s="8">
        <f>IF(AND(ISNUMBER(F8),F8&gt;0),H8/F8,0)</f>
        <v>0.0</v>
      </c>
      <c r="J8" s="7">
        <f>IF(AND(ISNUMBER(F8),F8&gt;0),F8-H8,0)</f>
        <v>0.0</v>
      </c>
      <c r="K8" s="7">
        <f>IF(AND(ISNUMBER($C$4),$C$4&gt;0,I8&gt;$C$4),"Over","")</f>
        <v/>
      </c>
    </row>
    <row r="9">
      <c r="A9" s="3"/>
      <c r="B9" s="3"/>
      <c r="C9" s="5"/>
      <c r="D9" s="4"/>
      <c r="E9" s="5"/>
      <c r="F9" s="4"/>
      <c r="G9" s="14">
        <f>IF(AND(ISNUMBER(E9),E9&gt;0),C9/E9,0)</f>
        <v>0.0</v>
      </c>
      <c r="H9" s="7">
        <f>IF(AND(ISNUMBER(C9),C9&gt;0),D9/C9*E9,0)</f>
        <v>0.0</v>
      </c>
      <c r="I9" s="8">
        <f>IF(AND(ISNUMBER(F9),F9&gt;0),H9/F9,0)</f>
        <v>0.0</v>
      </c>
      <c r="J9" s="7">
        <f>IF(AND(ISNUMBER(F9),F9&gt;0),F9-H9,0)</f>
        <v>0.0</v>
      </c>
      <c r="K9" s="7">
        <f>IF(AND(ISNUMBER($C$4),$C$4&gt;0,I9&gt;$C$4),"Over","")</f>
        <v/>
      </c>
    </row>
    <row r="10">
      <c r="A10" s="3"/>
      <c r="B10" s="3"/>
      <c r="C10" s="5"/>
      <c r="D10" s="4"/>
      <c r="E10" s="5"/>
      <c r="F10" s="4"/>
      <c r="G10" s="14">
        <f>IF(AND(ISNUMBER(E10),E10&gt;0),C10/E10,0)</f>
        <v>0.0</v>
      </c>
      <c r="H10" s="7">
        <f>IF(AND(ISNUMBER(C10),C10&gt;0),D10/C10*E10,0)</f>
        <v>0.0</v>
      </c>
      <c r="I10" s="8">
        <f>IF(AND(ISNUMBER(F10),F10&gt;0),H10/F10,0)</f>
        <v>0.0</v>
      </c>
      <c r="J10" s="7">
        <f>IF(AND(ISNUMBER(F10),F10&gt;0),F10-H10,0)</f>
        <v>0.0</v>
      </c>
      <c r="K10" s="7">
        <f>IF(AND(ISNUMBER($C$4),$C$4&gt;0,I10&gt;$C$4),"Over","")</f>
        <v/>
      </c>
    </row>
    <row r="11">
      <c r="A11" s="3"/>
      <c r="B11" s="3"/>
      <c r="C11" s="5"/>
      <c r="D11" s="4"/>
      <c r="E11" s="5"/>
      <c r="F11" s="4"/>
      <c r="G11" s="14">
        <f>IF(AND(ISNUMBER(E11),E11&gt;0),C11/E11,0)</f>
        <v>0.0</v>
      </c>
      <c r="H11" s="7">
        <f>IF(AND(ISNUMBER(C11),C11&gt;0),D11/C11*E11,0)</f>
        <v>0.0</v>
      </c>
      <c r="I11" s="8">
        <f>IF(AND(ISNUMBER(F11),F11&gt;0),H11/F11,0)</f>
        <v>0.0</v>
      </c>
      <c r="J11" s="7">
        <f>IF(AND(ISNUMBER(F11),F11&gt;0),F11-H11,0)</f>
        <v>0.0</v>
      </c>
      <c r="K11" s="7">
        <f>IF(AND(ISNUMBER($C$4),$C$4&gt;0,I11&gt;$C$4),"Over","")</f>
        <v/>
      </c>
    </row>
    <row r="12">
      <c r="A12" s="3"/>
      <c r="B12" s="3"/>
      <c r="C12" s="5"/>
      <c r="D12" s="4"/>
      <c r="E12" s="5"/>
      <c r="F12" s="4"/>
      <c r="G12" s="14">
        <f>IF(AND(ISNUMBER(E12),E12&gt;0),C12/E12,0)</f>
        <v>0.0</v>
      </c>
      <c r="H12" s="7">
        <f>IF(AND(ISNUMBER(C12),C12&gt;0),D12/C12*E12,0)</f>
        <v>0.0</v>
      </c>
      <c r="I12" s="8">
        <f>IF(AND(ISNUMBER(F12),F12&gt;0),H12/F12,0)</f>
        <v>0.0</v>
      </c>
      <c r="J12" s="7">
        <f>IF(AND(ISNUMBER(F12),F12&gt;0),F12-H12,0)</f>
        <v>0.0</v>
      </c>
      <c r="K12" s="7">
        <f>IF(AND(ISNUMBER($C$4),$C$4&gt;0,I12&gt;$C$4),"Over","")</f>
        <v/>
      </c>
    </row>
    <row r="13">
      <c r="A13" s="3"/>
      <c r="B13" s="3"/>
      <c r="C13" s="5"/>
      <c r="D13" s="4"/>
      <c r="E13" s="5"/>
      <c r="F13" s="4"/>
      <c r="G13" s="14">
        <f>IF(AND(ISNUMBER(E13),E13&gt;0),C13/E13,0)</f>
        <v>0.0</v>
      </c>
      <c r="H13" s="7">
        <f>IF(AND(ISNUMBER(C13),C13&gt;0),D13/C13*E13,0)</f>
        <v>0.0</v>
      </c>
      <c r="I13" s="8">
        <f>IF(AND(ISNUMBER(F13),F13&gt;0),H13/F13,0)</f>
        <v>0.0</v>
      </c>
      <c r="J13" s="7">
        <f>IF(AND(ISNUMBER(F13),F13&gt;0),F13-H13,0)</f>
        <v>0.0</v>
      </c>
      <c r="K13" s="7">
        <f>IF(AND(ISNUMBER($C$4),$C$4&gt;0,I13&gt;$C$4),"Over","")</f>
        <v/>
      </c>
    </row>
    <row r="14">
      <c r="A14" s="3"/>
      <c r="B14" s="3"/>
      <c r="C14" s="5"/>
      <c r="D14" s="4"/>
      <c r="E14" s="5"/>
      <c r="F14" s="4"/>
      <c r="G14" s="14">
        <f>IF(AND(ISNUMBER(E14),E14&gt;0),C14/E14,0)</f>
        <v>0.0</v>
      </c>
      <c r="H14" s="7">
        <f>IF(AND(ISNUMBER(C14),C14&gt;0),D14/C14*E14,0)</f>
        <v>0.0</v>
      </c>
      <c r="I14" s="8">
        <f>IF(AND(ISNUMBER(F14),F14&gt;0),H14/F14,0)</f>
        <v>0.0</v>
      </c>
      <c r="J14" s="7">
        <f>IF(AND(ISNUMBER(F14),F14&gt;0),F14-H14,0)</f>
        <v>0.0</v>
      </c>
      <c r="K14" s="7">
        <f>IF(AND(ISNUMBER($C$4),$C$4&gt;0,I14&gt;$C$4),"Over","")</f>
        <v/>
      </c>
    </row>
    <row r="15">
      <c r="A15" s="3"/>
      <c r="B15" s="3"/>
      <c r="C15" s="5"/>
      <c r="D15" s="4"/>
      <c r="E15" s="5"/>
      <c r="F15" s="4"/>
      <c r="G15" s="14">
        <f>IF(AND(ISNUMBER(E15),E15&gt;0),C15/E15,0)</f>
        <v>0.0</v>
      </c>
      <c r="H15" s="7">
        <f>IF(AND(ISNUMBER(C15),C15&gt;0),D15/C15*E15,0)</f>
        <v>0.0</v>
      </c>
      <c r="I15" s="8">
        <f>IF(AND(ISNUMBER(F15),F15&gt;0),H15/F15,0)</f>
        <v>0.0</v>
      </c>
      <c r="J15" s="7">
        <f>IF(AND(ISNUMBER(F15),F15&gt;0),F15-H15,0)</f>
        <v>0.0</v>
      </c>
      <c r="K15" s="7">
        <f>IF(AND(ISNUMBER($C$4),$C$4&gt;0,I15&gt;$C$4),"Over","")</f>
        <v/>
      </c>
    </row>
    <row r="16">
      <c r="A16" s="3"/>
      <c r="B16" s="3"/>
      <c r="C16" s="5"/>
      <c r="D16" s="4"/>
      <c r="E16" s="5"/>
      <c r="F16" s="4"/>
      <c r="G16" s="14">
        <f>IF(AND(ISNUMBER(E16),E16&gt;0),C16/E16,0)</f>
        <v>0.0</v>
      </c>
      <c r="H16" s="7">
        <f>IF(AND(ISNUMBER(C16),C16&gt;0),D16/C16*E16,0)</f>
        <v>0.0</v>
      </c>
      <c r="I16" s="8">
        <f>IF(AND(ISNUMBER(F16),F16&gt;0),H16/F16,0)</f>
        <v>0.0</v>
      </c>
      <c r="J16" s="7">
        <f>IF(AND(ISNUMBER(F16),F16&gt;0),F16-H16,0)</f>
        <v>0.0</v>
      </c>
      <c r="K16" s="7">
        <f>IF(AND(ISNUMBER($C$4),$C$4&gt;0,I16&gt;$C$4),"Over","")</f>
        <v/>
      </c>
    </row>
    <row r="17">
      <c r="A17" s="3"/>
      <c r="B17" s="3"/>
      <c r="C17" s="5"/>
      <c r="D17" s="4"/>
      <c r="E17" s="5"/>
      <c r="F17" s="4"/>
      <c r="G17" s="14">
        <f>IF(AND(ISNUMBER(E17),E17&gt;0),C17/E17,0)</f>
        <v>0.0</v>
      </c>
      <c r="H17" s="7">
        <f>IF(AND(ISNUMBER(C17),C17&gt;0),D17/C17*E17,0)</f>
        <v>0.0</v>
      </c>
      <c r="I17" s="8">
        <f>IF(AND(ISNUMBER(F17),F17&gt;0),H17/F17,0)</f>
        <v>0.0</v>
      </c>
      <c r="J17" s="7">
        <f>IF(AND(ISNUMBER(F17),F17&gt;0),F17-H17,0)</f>
        <v>0.0</v>
      </c>
      <c r="K17" s="7">
        <f>IF(AND(ISNUMBER($C$4),$C$4&gt;0,I17&gt;$C$4),"Over","")</f>
        <v/>
      </c>
    </row>
    <row r="18">
      <c r="A18" s="3"/>
      <c r="B18" s="3"/>
      <c r="C18" s="5"/>
      <c r="D18" s="4"/>
      <c r="E18" s="5"/>
      <c r="F18" s="4"/>
      <c r="G18" s="14">
        <f>IF(AND(ISNUMBER(E18),E18&gt;0),C18/E18,0)</f>
        <v>0.0</v>
      </c>
      <c r="H18" s="7">
        <f>IF(AND(ISNUMBER(C18),C18&gt;0),D18/C18*E18,0)</f>
        <v>0.0</v>
      </c>
      <c r="I18" s="8">
        <f>IF(AND(ISNUMBER(F18),F18&gt;0),H18/F18,0)</f>
        <v>0.0</v>
      </c>
      <c r="J18" s="7">
        <f>IF(AND(ISNUMBER(F18),F18&gt;0),F18-H18,0)</f>
        <v>0.0</v>
      </c>
      <c r="K18" s="7">
        <f>IF(AND(ISNUMBER($C$4),$C$4&gt;0,I18&gt;$C$4),"Over","")</f>
        <v/>
      </c>
    </row>
    <row r="19">
      <c r="A19" s="3"/>
      <c r="B19" s="3"/>
      <c r="C19" s="5"/>
      <c r="D19" s="4"/>
      <c r="E19" s="5"/>
      <c r="F19" s="4"/>
      <c r="G19" s="14">
        <f>IF(AND(ISNUMBER(E19),E19&gt;0),C19/E19,0)</f>
        <v>0.0</v>
      </c>
      <c r="H19" s="7">
        <f>IF(AND(ISNUMBER(C19),C19&gt;0),D19/C19*E19,0)</f>
        <v>0.0</v>
      </c>
      <c r="I19" s="8">
        <f>IF(AND(ISNUMBER(F19),F19&gt;0),H19/F19,0)</f>
        <v>0.0</v>
      </c>
      <c r="J19" s="7">
        <f>IF(AND(ISNUMBER(F19),F19&gt;0),F19-H19,0)</f>
        <v>0.0</v>
      </c>
      <c r="K19" s="7">
        <f>IF(AND(ISNUMBER($C$4),$C$4&gt;0,I19&gt;$C$4),"Over","")</f>
        <v/>
      </c>
    </row>
    <row r="20">
      <c r="A20" s="3"/>
      <c r="B20" s="3"/>
      <c r="C20" s="5"/>
      <c r="D20" s="4"/>
      <c r="E20" s="5"/>
      <c r="F20" s="4"/>
      <c r="G20" s="14">
        <f>IF(AND(ISNUMBER(E20),E20&gt;0),C20/E20,0)</f>
        <v>0.0</v>
      </c>
      <c r="H20" s="7">
        <f>IF(AND(ISNUMBER(C20),C20&gt;0),D20/C20*E20,0)</f>
        <v>0.0</v>
      </c>
      <c r="I20" s="8">
        <f>IF(AND(ISNUMBER(F20),F20&gt;0),H20/F20,0)</f>
        <v>0.0</v>
      </c>
      <c r="J20" s="7">
        <f>IF(AND(ISNUMBER(F20),F20&gt;0),F20-H20,0)</f>
        <v>0.0</v>
      </c>
      <c r="K20" s="7">
        <f>IF(AND(ISNUMBER($C$4),$C$4&gt;0,I20&gt;$C$4),"Over","")</f>
        <v/>
      </c>
    </row>
    <row r="21">
      <c r="A21" s="3"/>
      <c r="B21" s="3"/>
      <c r="C21" s="5"/>
      <c r="D21" s="4"/>
      <c r="E21" s="5"/>
      <c r="F21" s="4"/>
      <c r="G21" s="14">
        <f>IF(AND(ISNUMBER(E21),E21&gt;0),C21/E21,0)</f>
        <v>0.0</v>
      </c>
      <c r="H21" s="7">
        <f>IF(AND(ISNUMBER(C21),C21&gt;0),D21/C21*E21,0)</f>
        <v>0.0</v>
      </c>
      <c r="I21" s="8">
        <f>IF(AND(ISNUMBER(F21),F21&gt;0),H21/F21,0)</f>
        <v>0.0</v>
      </c>
      <c r="J21" s="7">
        <f>IF(AND(ISNUMBER(F21),F21&gt;0),F21-H21,0)</f>
        <v>0.0</v>
      </c>
      <c r="K21" s="7">
        <f>IF(AND(ISNUMBER($C$4),$C$4&gt;0,I21&gt;$C$4),"Over","")</f>
        <v/>
      </c>
    </row>
    <row r="22">
      <c r="A22" s="3"/>
      <c r="B22" s="3"/>
      <c r="C22" s="5"/>
      <c r="D22" s="4"/>
      <c r="E22" s="5"/>
      <c r="F22" s="4"/>
      <c r="G22" s="14">
        <f>IF(AND(ISNUMBER(E22),E22&gt;0),C22/E22,0)</f>
        <v>0.0</v>
      </c>
      <c r="H22" s="7">
        <f>IF(AND(ISNUMBER(C22),C22&gt;0),D22/C22*E22,0)</f>
        <v>0.0</v>
      </c>
      <c r="I22" s="8">
        <f>IF(AND(ISNUMBER(F22),F22&gt;0),H22/F22,0)</f>
        <v>0.0</v>
      </c>
      <c r="J22" s="7">
        <f>IF(AND(ISNUMBER(F22),F22&gt;0),F22-H22,0)</f>
        <v>0.0</v>
      </c>
      <c r="K22" s="7">
        <f>IF(AND(ISNUMBER($C$4),$C$4&gt;0,I22&gt;$C$4),"Over","")</f>
        <v/>
      </c>
    </row>
    <row r="23">
      <c r="A23" s="3"/>
      <c r="B23" s="3"/>
      <c r="C23" s="5"/>
      <c r="D23" s="4"/>
      <c r="E23" s="5"/>
      <c r="F23" s="4"/>
      <c r="G23" s="14">
        <f>IF(AND(ISNUMBER(E23),E23&gt;0),C23/E23,0)</f>
        <v>0.0</v>
      </c>
      <c r="H23" s="7">
        <f>IF(AND(ISNUMBER(C23),C23&gt;0),D23/C23*E23,0)</f>
        <v>0.0</v>
      </c>
      <c r="I23" s="8">
        <f>IF(AND(ISNUMBER(F23),F23&gt;0),H23/F23,0)</f>
        <v>0.0</v>
      </c>
      <c r="J23" s="7">
        <f>IF(AND(ISNUMBER(F23),F23&gt;0),F23-H23,0)</f>
        <v>0.0</v>
      </c>
      <c r="K23" s="7">
        <f>IF(AND(ISNUMBER($C$4),$C$4&gt;0,I23&gt;$C$4),"Over","")</f>
        <v/>
      </c>
    </row>
    <row r="24">
      <c r="A24" s="3"/>
      <c r="B24" s="3"/>
      <c r="C24" s="5"/>
      <c r="D24" s="4"/>
      <c r="E24" s="5"/>
      <c r="F24" s="4"/>
      <c r="G24" s="14">
        <f>IF(AND(ISNUMBER(E24),E24&gt;0),C24/E24,0)</f>
        <v>0.0</v>
      </c>
      <c r="H24" s="7">
        <f>IF(AND(ISNUMBER(C24),C24&gt;0),D24/C24*E24,0)</f>
        <v>0.0</v>
      </c>
      <c r="I24" s="8">
        <f>IF(AND(ISNUMBER(F24),F24&gt;0),H24/F24,0)</f>
        <v>0.0</v>
      </c>
      <c r="J24" s="7">
        <f>IF(AND(ISNUMBER(F24),F24&gt;0),F24-H24,0)</f>
        <v>0.0</v>
      </c>
      <c r="K24" s="7">
        <f>IF(AND(ISNUMBER($C$4),$C$4&gt;0,I24&gt;$C$4),"Over","")</f>
        <v/>
      </c>
    </row>
    <row r="25">
      <c r="A25" s="3"/>
      <c r="B25" s="3"/>
      <c r="C25" s="5"/>
      <c r="D25" s="4"/>
      <c r="E25" s="5"/>
      <c r="F25" s="4"/>
      <c r="G25" s="14">
        <f>IF(AND(ISNUMBER(E25),E25&gt;0),C25/E25,0)</f>
        <v>0.0</v>
      </c>
      <c r="H25" s="7">
        <f>IF(AND(ISNUMBER(C25),C25&gt;0),D25/C25*E25,0)</f>
        <v>0.0</v>
      </c>
      <c r="I25" s="8">
        <f>IF(AND(ISNUMBER(F25),F25&gt;0),H25/F25,0)</f>
        <v>0.0</v>
      </c>
      <c r="J25" s="7">
        <f>IF(AND(ISNUMBER(F25),F25&gt;0),F25-H25,0)</f>
        <v>0.0</v>
      </c>
      <c r="K25" s="7">
        <f>IF(AND(ISNUMBER($C$4),$C$4&gt;0,I25&gt;$C$4),"Over","")</f>
        <v/>
      </c>
    </row>
    <row r="26">
      <c r="A26" s="3"/>
      <c r="B26" s="3"/>
      <c r="C26" s="5"/>
      <c r="D26" s="4"/>
      <c r="E26" s="5"/>
      <c r="F26" s="4"/>
      <c r="G26" s="14">
        <f>IF(AND(ISNUMBER(E26),E26&gt;0),C26/E26,0)</f>
        <v>0.0</v>
      </c>
      <c r="H26" s="7">
        <f>IF(AND(ISNUMBER(C26),C26&gt;0),D26/C26*E26,0)</f>
        <v>0.0</v>
      </c>
      <c r="I26" s="8">
        <f>IF(AND(ISNUMBER(F26),F26&gt;0),H26/F26,0)</f>
        <v>0.0</v>
      </c>
      <c r="J26" s="7">
        <f>IF(AND(ISNUMBER(F26),F26&gt;0),F26-H26,0)</f>
        <v>0.0</v>
      </c>
      <c r="K26" s="7">
        <f>IF(AND(ISNUMBER($C$4),$C$4&gt;0,I26&gt;$C$4),"Over","")</f>
        <v/>
      </c>
    </row>
    <row r="27">
      <c r="A27" s="3"/>
      <c r="B27" s="3"/>
      <c r="C27" s="5"/>
      <c r="D27" s="4"/>
      <c r="E27" s="5"/>
      <c r="F27" s="4"/>
      <c r="G27" s="14">
        <f>IF(AND(ISNUMBER(E27),E27&gt;0),C27/E27,0)</f>
        <v>0.0</v>
      </c>
      <c r="H27" s="7">
        <f>IF(AND(ISNUMBER(C27),C27&gt;0),D27/C27*E27,0)</f>
        <v>0.0</v>
      </c>
      <c r="I27" s="8">
        <f>IF(AND(ISNUMBER(F27),F27&gt;0),H27/F27,0)</f>
        <v>0.0</v>
      </c>
      <c r="J27" s="7">
        <f>IF(AND(ISNUMBER(F27),F27&gt;0),F27-H27,0)</f>
        <v>0.0</v>
      </c>
      <c r="K27" s="7">
        <f>IF(AND(ISNUMBER($C$4),$C$4&gt;0,I27&gt;$C$4),"Over","")</f>
        <v/>
      </c>
    </row>
    <row r="28">
      <c r="A28" s="3"/>
      <c r="B28" s="3"/>
      <c r="C28" s="5"/>
      <c r="D28" s="4"/>
      <c r="E28" s="5"/>
      <c r="F28" s="4"/>
      <c r="G28" s="14">
        <f>IF(AND(ISNUMBER(E28),E28&gt;0),C28/E28,0)</f>
        <v>0.0</v>
      </c>
      <c r="H28" s="7">
        <f>IF(AND(ISNUMBER(C28),C28&gt;0),D28/C28*E28,0)</f>
        <v>0.0</v>
      </c>
      <c r="I28" s="8">
        <f>IF(AND(ISNUMBER(F28),F28&gt;0),H28/F28,0)</f>
        <v>0.0</v>
      </c>
      <c r="J28" s="7">
        <f>IF(AND(ISNUMBER(F28),F28&gt;0),F28-H28,0)</f>
        <v>0.0</v>
      </c>
      <c r="K28" s="7">
        <f>IF(AND(ISNUMBER($C$4),$C$4&gt;0,I28&gt;$C$4),"Over","")</f>
        <v/>
      </c>
    </row>
    <row r="29">
      <c r="A29" s="3"/>
      <c r="B29" s="3"/>
      <c r="C29" s="5"/>
      <c r="D29" s="4"/>
      <c r="E29" s="5"/>
      <c r="F29" s="4"/>
      <c r="G29" s="14">
        <f>IF(AND(ISNUMBER(E29),E29&gt;0),C29/E29,0)</f>
        <v>0.0</v>
      </c>
      <c r="H29" s="7">
        <f>IF(AND(ISNUMBER(C29),C29&gt;0),D29/C29*E29,0)</f>
        <v>0.0</v>
      </c>
      <c r="I29" s="8">
        <f>IF(AND(ISNUMBER(F29),F29&gt;0),H29/F29,0)</f>
        <v>0.0</v>
      </c>
      <c r="J29" s="7">
        <f>IF(AND(ISNUMBER(F29),F29&gt;0),F29-H29,0)</f>
        <v>0.0</v>
      </c>
      <c r="K29" s="7">
        <f>IF(AND(ISNUMBER($C$4),$C$4&gt;0,I29&gt;$C$4),"Over","")</f>
        <v/>
      </c>
    </row>
    <row r="30">
      <c r="A30" s="3"/>
      <c r="B30" s="3"/>
      <c r="C30" s="5"/>
      <c r="D30" s="4"/>
      <c r="E30" s="5"/>
      <c r="F30" s="4"/>
      <c r="G30" s="14">
        <f>IF(AND(ISNUMBER(E30),E30&gt;0),C30/E30,0)</f>
        <v>0.0</v>
      </c>
      <c r="H30" s="7">
        <f>IF(AND(ISNUMBER(C30),C30&gt;0),D30/C30*E30,0)</f>
        <v>0.0</v>
      </c>
      <c r="I30" s="8">
        <f>IF(AND(ISNUMBER(F30),F30&gt;0),H30/F30,0)</f>
        <v>0.0</v>
      </c>
      <c r="J30" s="7">
        <f>IF(AND(ISNUMBER(F30),F30&gt;0),F30-H30,0)</f>
        <v>0.0</v>
      </c>
      <c r="K30" s="7">
        <f>IF(AND(ISNUMBER($C$4),$C$4&gt;0,I30&gt;$C$4),"Over","")</f>
        <v/>
      </c>
    </row>
    <row r="31">
      <c r="A31" s="3"/>
      <c r="B31" s="3"/>
      <c r="C31" s="5"/>
      <c r="D31" s="4"/>
      <c r="E31" s="5"/>
      <c r="F31" s="4"/>
      <c r="G31" s="14">
        <f>IF(AND(ISNUMBER(E31),E31&gt;0),C31/E31,0)</f>
        <v>0.0</v>
      </c>
      <c r="H31" s="7">
        <f>IF(AND(ISNUMBER(C31),C31&gt;0),D31/C31*E31,0)</f>
        <v>0.0</v>
      </c>
      <c r="I31" s="8">
        <f>IF(AND(ISNUMBER(F31),F31&gt;0),H31/F31,0)</f>
        <v>0.0</v>
      </c>
      <c r="J31" s="7">
        <f>IF(AND(ISNUMBER(F31),F31&gt;0),F31-H31,0)</f>
        <v>0.0</v>
      </c>
      <c r="K31" s="7">
        <f>IF(AND(ISNUMBER($C$4),$C$4&gt;0,I31&gt;$C$4),"Over","")</f>
        <v/>
      </c>
    </row>
    <row r="32">
      <c r="A32" s="3"/>
      <c r="B32" s="3"/>
      <c r="C32" s="5"/>
      <c r="D32" s="4"/>
      <c r="E32" s="5"/>
      <c r="F32" s="4"/>
      <c r="G32" s="14">
        <f>IF(AND(ISNUMBER(E32),E32&gt;0),C32/E32,0)</f>
        <v>0.0</v>
      </c>
      <c r="H32" s="7">
        <f>IF(AND(ISNUMBER(C32),C32&gt;0),D32/C32*E32,0)</f>
        <v>0.0</v>
      </c>
      <c r="I32" s="8">
        <f>IF(AND(ISNUMBER(F32),F32&gt;0),H32/F32,0)</f>
        <v>0.0</v>
      </c>
      <c r="J32" s="7">
        <f>IF(AND(ISNUMBER(F32),F32&gt;0),F32-H32,0)</f>
        <v>0.0</v>
      </c>
      <c r="K32" s="7">
        <f>IF(AND(ISNUMBER($C$4),$C$4&gt;0,I32&gt;$C$4),"Over","")</f>
        <v/>
      </c>
    </row>
    <row r="33">
      <c r="A33" s="3"/>
      <c r="B33" s="3"/>
      <c r="C33" s="5"/>
      <c r="D33" s="4"/>
      <c r="E33" s="5"/>
      <c r="F33" s="4"/>
      <c r="G33" s="14">
        <f>IF(AND(ISNUMBER(E33),E33&gt;0),C33/E33,0)</f>
        <v>0.0</v>
      </c>
      <c r="H33" s="7">
        <f>IF(AND(ISNUMBER(C33),C33&gt;0),D33/C33*E33,0)</f>
        <v>0.0</v>
      </c>
      <c r="I33" s="8">
        <f>IF(AND(ISNUMBER(F33),F33&gt;0),H33/F33,0)</f>
        <v>0.0</v>
      </c>
      <c r="J33" s="7">
        <f>IF(AND(ISNUMBER(F33),F33&gt;0),F33-H33,0)</f>
        <v>0.0</v>
      </c>
      <c r="K33" s="7">
        <f>IF(AND(ISNUMBER($C$4),$C$4&gt;0,I33&gt;$C$4),"Over","")</f>
        <v/>
      </c>
    </row>
    <row r="34">
      <c r="A34" s="3"/>
      <c r="B34" s="3"/>
      <c r="C34" s="5"/>
      <c r="D34" s="4"/>
      <c r="E34" s="5"/>
      <c r="F34" s="4"/>
      <c r="G34" s="14">
        <f>IF(AND(ISNUMBER(E34),E34&gt;0),C34/E34,0)</f>
        <v>0.0</v>
      </c>
      <c r="H34" s="7">
        <f>IF(AND(ISNUMBER(C34),C34&gt;0),D34/C34*E34,0)</f>
        <v>0.0</v>
      </c>
      <c r="I34" s="8">
        <f>IF(AND(ISNUMBER(F34),F34&gt;0),H34/F34,0)</f>
        <v>0.0</v>
      </c>
      <c r="J34" s="7">
        <f>IF(AND(ISNUMBER(F34),F34&gt;0),F34-H34,0)</f>
        <v>0.0</v>
      </c>
      <c r="K34" s="7">
        <f>IF(AND(ISNUMBER($C$4),$C$4&gt;0,I34&gt;$C$4),"Over","")</f>
        <v/>
      </c>
    </row>
    <row r="35">
      <c r="A35" s="3"/>
      <c r="B35" s="3"/>
      <c r="C35" s="5"/>
      <c r="D35" s="4"/>
      <c r="E35" s="5"/>
      <c r="F35" s="4"/>
      <c r="G35" s="14">
        <f>IF(AND(ISNUMBER(E35),E35&gt;0),C35/E35,0)</f>
        <v>0.0</v>
      </c>
      <c r="H35" s="7">
        <f>IF(AND(ISNUMBER(C35),C35&gt;0),D35/C35*E35,0)</f>
        <v>0.0</v>
      </c>
      <c r="I35" s="8">
        <f>IF(AND(ISNUMBER(F35),F35&gt;0),H35/F35,0)</f>
        <v>0.0</v>
      </c>
      <c r="J35" s="7">
        <f>IF(AND(ISNUMBER(F35),F35&gt;0),F35-H35,0)</f>
        <v>0.0</v>
      </c>
      <c r="K35" s="7">
        <f>IF(AND(ISNUMBER($C$4),$C$4&gt;0,I35&gt;$C$4),"Over","")</f>
        <v/>
      </c>
    </row>
    <row r="36">
      <c r="A36" s="3"/>
      <c r="B36" s="3"/>
      <c r="C36" s="5"/>
      <c r="D36" s="4"/>
      <c r="E36" s="5"/>
      <c r="F36" s="4"/>
      <c r="G36" s="14">
        <f>IF(AND(ISNUMBER(E36),E36&gt;0),C36/E36,0)</f>
        <v>0.0</v>
      </c>
      <c r="H36" s="7">
        <f>IF(AND(ISNUMBER(C36),C36&gt;0),D36/C36*E36,0)</f>
        <v>0.0</v>
      </c>
      <c r="I36" s="8">
        <f>IF(AND(ISNUMBER(F36),F36&gt;0),H36/F36,0)</f>
        <v>0.0</v>
      </c>
      <c r="J36" s="7">
        <f>IF(AND(ISNUMBER(F36),F36&gt;0),F36-H36,0)</f>
        <v>0.0</v>
      </c>
      <c r="K36" s="7">
        <f>IF(AND(ISNUMBER($C$4),$C$4&gt;0,I36&gt;$C$4),"Over","")</f>
        <v/>
      </c>
    </row>
    <row r="37">
      <c r="A37" s="3"/>
      <c r="B37" s="3"/>
      <c r="C37" s="5"/>
      <c r="D37" s="4"/>
      <c r="E37" s="5"/>
      <c r="F37" s="4"/>
      <c r="G37" s="14">
        <f>IF(AND(ISNUMBER(E37),E37&gt;0),C37/E37,0)</f>
        <v>0.0</v>
      </c>
      <c r="H37" s="7">
        <f>IF(AND(ISNUMBER(C37),C37&gt;0),D37/C37*E37,0)</f>
        <v>0.0</v>
      </c>
      <c r="I37" s="8">
        <f>IF(AND(ISNUMBER(F37),F37&gt;0),H37/F37,0)</f>
        <v>0.0</v>
      </c>
      <c r="J37" s="7">
        <f>IF(AND(ISNUMBER(F37),F37&gt;0),F37-H37,0)</f>
        <v>0.0</v>
      </c>
      <c r="K37" s="7">
        <f>IF(AND(ISNUMBER($C$4),$C$4&gt;0,I37&gt;$C$4),"Over","")</f>
        <v/>
      </c>
    </row>
    <row r="38">
      <c r="A38" s="3"/>
      <c r="B38" s="3"/>
      <c r="C38" s="5"/>
      <c r="D38" s="4"/>
      <c r="E38" s="5"/>
      <c r="F38" s="4"/>
      <c r="G38" s="14">
        <f>IF(AND(ISNUMBER(E38),E38&gt;0),C38/E38,0)</f>
        <v>0.0</v>
      </c>
      <c r="H38" s="7">
        <f>IF(AND(ISNUMBER(C38),C38&gt;0),D38/C38*E38,0)</f>
        <v>0.0</v>
      </c>
      <c r="I38" s="8">
        <f>IF(AND(ISNUMBER(F38),F38&gt;0),H38/F38,0)</f>
        <v>0.0</v>
      </c>
      <c r="J38" s="7">
        <f>IF(AND(ISNUMBER(F38),F38&gt;0),F38-H38,0)</f>
        <v>0.0</v>
      </c>
      <c r="K38" s="7">
        <f>IF(AND(ISNUMBER($C$4),$C$4&gt;0,I38&gt;$C$4),"Over","")</f>
        <v/>
      </c>
    </row>
    <row r="39">
      <c r="A39" s="3"/>
      <c r="B39" s="3"/>
      <c r="C39" s="5"/>
      <c r="D39" s="4"/>
      <c r="E39" s="5"/>
      <c r="F39" s="4"/>
      <c r="G39" s="14">
        <f>IF(AND(ISNUMBER(E39),E39&gt;0),C39/E39,0)</f>
        <v>0.0</v>
      </c>
      <c r="H39" s="7">
        <f>IF(AND(ISNUMBER(C39),C39&gt;0),D39/C39*E39,0)</f>
        <v>0.0</v>
      </c>
      <c r="I39" s="8">
        <f>IF(AND(ISNUMBER(F39),F39&gt;0),H39/F39,0)</f>
        <v>0.0</v>
      </c>
      <c r="J39" s="7">
        <f>IF(AND(ISNUMBER(F39),F39&gt;0),F39-H39,0)</f>
        <v>0.0</v>
      </c>
      <c r="K39" s="7">
        <f>IF(AND(ISNUMBER($C$4),$C$4&gt;0,I39&gt;$C$4),"Over","")</f>
        <v/>
      </c>
    </row>
    <row r="40">
      <c r="A40" s="3"/>
      <c r="B40" s="3"/>
      <c r="C40" s="5"/>
      <c r="D40" s="4"/>
      <c r="E40" s="5"/>
      <c r="F40" s="4"/>
      <c r="G40" s="14">
        <f>IF(AND(ISNUMBER(E40),E40&gt;0),C40/E40,0)</f>
        <v>0.0</v>
      </c>
      <c r="H40" s="7">
        <f>IF(AND(ISNUMBER(C40),C40&gt;0),D40/C40*E40,0)</f>
        <v>0.0</v>
      </c>
      <c r="I40" s="8">
        <f>IF(AND(ISNUMBER(F40),F40&gt;0),H40/F40,0)</f>
        <v>0.0</v>
      </c>
      <c r="J40" s="7">
        <f>IF(AND(ISNUMBER(F40),F40&gt;0),F40-H40,0)</f>
        <v>0.0</v>
      </c>
      <c r="K40" s="7">
        <f>IF(AND(ISNUMBER($C$4),$C$4&gt;0,I40&gt;$C$4),"Over","")</f>
        <v/>
      </c>
    </row>
    <row r="41">
      <c r="A41" s="3"/>
      <c r="B41" s="3"/>
      <c r="C41" s="5"/>
      <c r="D41" s="4"/>
      <c r="E41" s="5"/>
      <c r="F41" s="4"/>
      <c r="G41" s="14">
        <f>IF(AND(ISNUMBER(E41),E41&gt;0),C41/E41,0)</f>
        <v>0.0</v>
      </c>
      <c r="H41" s="7">
        <f>IF(AND(ISNUMBER(C41),C41&gt;0),D41/C41*E41,0)</f>
        <v>0.0</v>
      </c>
      <c r="I41" s="8">
        <f>IF(AND(ISNUMBER(F41),F41&gt;0),H41/F41,0)</f>
        <v>0.0</v>
      </c>
      <c r="J41" s="7">
        <f>IF(AND(ISNUMBER(F41),F41&gt;0),F41-H41,0)</f>
        <v>0.0</v>
      </c>
      <c r="K41" s="7">
        <f>IF(AND(ISNUMBER($C$4),$C$4&gt;0,I41&gt;$C$4),"Over","")</f>
        <v/>
      </c>
    </row>
    <row r="42">
      <c r="A42" s="3"/>
      <c r="B42" s="3"/>
      <c r="C42" s="5"/>
      <c r="D42" s="4"/>
      <c r="E42" s="5"/>
      <c r="F42" s="4"/>
      <c r="G42" s="14">
        <f>IF(AND(ISNUMBER(E42),E42&gt;0),C42/E42,0)</f>
        <v>0.0</v>
      </c>
      <c r="H42" s="7">
        <f>IF(AND(ISNUMBER(C42),C42&gt;0),D42/C42*E42,0)</f>
        <v>0.0</v>
      </c>
      <c r="I42" s="8">
        <f>IF(AND(ISNUMBER(F42),F42&gt;0),H42/F42,0)</f>
        <v>0.0</v>
      </c>
      <c r="J42" s="7">
        <f>IF(AND(ISNUMBER(F42),F42&gt;0),F42-H42,0)</f>
        <v>0.0</v>
      </c>
      <c r="K42" s="7">
        <f>IF(AND(ISNUMBER($C$4),$C$4&gt;0,I42&gt;$C$4),"Over","")</f>
        <v/>
      </c>
    </row>
    <row r="43">
      <c r="A43" s="3"/>
      <c r="B43" s="3"/>
      <c r="C43" s="5"/>
      <c r="D43" s="4"/>
      <c r="E43" s="5"/>
      <c r="F43" s="4"/>
      <c r="G43" s="14">
        <f>IF(AND(ISNUMBER(E43),E43&gt;0),C43/E43,0)</f>
        <v>0.0</v>
      </c>
      <c r="H43" s="7">
        <f>IF(AND(ISNUMBER(C43),C43&gt;0),D43/C43*E43,0)</f>
        <v>0.0</v>
      </c>
      <c r="I43" s="8">
        <f>IF(AND(ISNUMBER(F43),F43&gt;0),H43/F43,0)</f>
        <v>0.0</v>
      </c>
      <c r="J43" s="7">
        <f>IF(AND(ISNUMBER(F43),F43&gt;0),F43-H43,0)</f>
        <v>0.0</v>
      </c>
      <c r="K43" s="7">
        <f>IF(AND(ISNUMBER($C$4),$C$4&gt;0,I43&gt;$C$4),"Over","")</f>
        <v/>
      </c>
    </row>
    <row r="44">
      <c r="A44" s="3"/>
      <c r="B44" s="3"/>
      <c r="C44" s="5"/>
      <c r="D44" s="4"/>
      <c r="E44" s="5"/>
      <c r="F44" s="4"/>
      <c r="G44" s="14">
        <f>IF(AND(ISNUMBER(E44),E44&gt;0),C44/E44,0)</f>
        <v>0.0</v>
      </c>
      <c r="H44" s="7">
        <f>IF(AND(ISNUMBER(C44),C44&gt;0),D44/C44*E44,0)</f>
        <v>0.0</v>
      </c>
      <c r="I44" s="8">
        <f>IF(AND(ISNUMBER(F44),F44&gt;0),H44/F44,0)</f>
        <v>0.0</v>
      </c>
      <c r="J44" s="7">
        <f>IF(AND(ISNUMBER(F44),F44&gt;0),F44-H44,0)</f>
        <v>0.0</v>
      </c>
      <c r="K44" s="7">
        <f>IF(AND(ISNUMBER($C$4),$C$4&gt;0,I44&gt;$C$4),"Over","")</f>
        <v/>
      </c>
    </row>
    <row r="45">
      <c r="A45" s="3"/>
      <c r="B45" s="3"/>
      <c r="C45" s="5"/>
      <c r="D45" s="4"/>
      <c r="E45" s="5"/>
      <c r="F45" s="4"/>
      <c r="G45" s="14">
        <f>IF(AND(ISNUMBER(E45),E45&gt;0),C45/E45,0)</f>
        <v>0.0</v>
      </c>
      <c r="H45" s="7">
        <f>IF(AND(ISNUMBER(C45),C45&gt;0),D45/C45*E45,0)</f>
        <v>0.0</v>
      </c>
      <c r="I45" s="8">
        <f>IF(AND(ISNUMBER(F45),F45&gt;0),H45/F45,0)</f>
        <v>0.0</v>
      </c>
      <c r="J45" s="7">
        <f>IF(AND(ISNUMBER(F45),F45&gt;0),F45-H45,0)</f>
        <v>0.0</v>
      </c>
      <c r="K45" s="7">
        <f>IF(AND(ISNUMBER($C$4),$C$4&gt;0,I45&gt;$C$4),"Over","")</f>
        <v/>
      </c>
    </row>
    <row r="46">
      <c r="A46" s="3"/>
      <c r="B46" s="3"/>
      <c r="C46" s="5"/>
      <c r="D46" s="4"/>
      <c r="E46" s="5"/>
      <c r="F46" s="4"/>
      <c r="G46" s="14">
        <f>IF(AND(ISNUMBER(E46),E46&gt;0),C46/E46,0)</f>
        <v>0.0</v>
      </c>
      <c r="H46" s="7">
        <f>IF(AND(ISNUMBER(C46),C46&gt;0),D46/C46*E46,0)</f>
        <v>0.0</v>
      </c>
      <c r="I46" s="8">
        <f>IF(AND(ISNUMBER(F46),F46&gt;0),H46/F46,0)</f>
        <v>0.0</v>
      </c>
      <c r="J46" s="7">
        <f>IF(AND(ISNUMBER(F46),F46&gt;0),F46-H46,0)</f>
        <v>0.0</v>
      </c>
      <c r="K46" s="7">
        <f>IF(AND(ISNUMBER($C$4),$C$4&gt;0,I46&gt;$C$4),"Over","")</f>
        <v/>
      </c>
    </row>
    <row r="48">
      <c r="A48" s="9" t="inlineStr">
        <is>
          <t xml:space="preserve">Row 7 is an example with sample prices, not a recommendation. Replace it with your own.</t>
        </is>
      </c>
    </row>
  </sheetData>
  <mergeCells count="2">
    <mergeCell ref="D4:J4"/>
    <mergeCell ref="A48:K48"/>
  </mergeCells>
  <pageMargins left="0.5" right="0.5" top="0.6" bottom="0.6" header="0.3" footer="0.3"/>
  <pageSetup orientation="landscape" fitToWidth="1" fitToHeight="0"/>
</worksheet>
</file>

<file path=xl/worksheets/sheet3.xml><?xml version="1.0" encoding="utf-8"?>
<worksheet xmlns="http://schemas.openxmlformats.org/spreadsheetml/2006/main" xmlns:r="http://schemas.openxmlformats.org/officeDocument/2006/relationships">
  <sheetViews>
    <sheetView workbookViewId="0" showGridLines="0">
      <pane ySplit="6" topLeftCell="A7" activePane="bottomLeft" state="frozen"/>
    </sheetView>
  </sheetViews>
  <sheetFormatPr defaultRowHeight="15"/>
  <cols>
    <col min="1" max="1" width="30" customWidth="1"/>
    <col min="2" max="2" width="11" customWidth="1"/>
    <col min="3" max="3" width="13" customWidth="1"/>
    <col min="4" max="4" width="13" customWidth="1"/>
    <col min="5" max="5" width="13" customWidth="1"/>
    <col min="6" max="6" width="13" customWidth="1"/>
    <col min="7" max="7" width="15" customWidth="1"/>
    <col min="8" max="8" width="16" customWidth="1"/>
    <col min="9" max="9" width="17" customWidth="1"/>
    <col min="10" max="10" width="15" customWidth="1"/>
  </cols>
  <sheetData>
    <row r="1">
      <c r="A1" s="1" t="inlineStr">
        <is>
          <t xml:space="preserve">Weekly Inventory Count</t>
        </is>
      </c>
    </row>
    <row r="2">
      <c r="A2" s="9" t="inlineStr">
        <is>
          <t xml:space="preserve">Count the same day and time every week. Sales per product come from your POS product sales report.</t>
        </is>
      </c>
    </row>
    <row r="4">
      <c r="A4" s="10" t="inlineStr">
        <is>
          <t xml:space="preserve">Week of</t>
        </is>
      </c>
      <c r="B4" s="3"/>
      <c r="C4" s="3"/>
    </row>
    <row r="6" ht="30" customHeight="1">
      <c r="A6" s="2" t="inlineStr">
        <is>
          <t xml:space="preserve">Product</t>
        </is>
      </c>
      <c r="B6" s="2" t="inlineStr">
        <is>
          <t xml:space="preserve">Unit</t>
        </is>
      </c>
      <c r="C6" s="2" t="inlineStr">
        <is>
          <t xml:space="preserve">Opening count</t>
        </is>
      </c>
      <c r="D6" s="2" t="inlineStr">
        <is>
          <t xml:space="preserve">Received</t>
        </is>
      </c>
      <c r="E6" s="2" t="inlineStr">
        <is>
          <t xml:space="preserve">Closing count</t>
        </is>
      </c>
      <c r="F6" s="2" t="inlineStr">
        <is>
          <t xml:space="preserve">Used</t>
        </is>
      </c>
      <c r="G6" s="2" t="inlineStr">
        <is>
          <t xml:space="preserve">Cost per unit ($)</t>
        </is>
      </c>
      <c r="H6" s="2" t="inlineStr">
        <is>
          <t xml:space="preserve">Cost of what you used ($)</t>
        </is>
      </c>
      <c r="I6" s="2" t="inlineStr">
        <is>
          <t xml:space="preserve">Sales of this product ($)</t>
        </is>
      </c>
      <c r="J6" s="2" t="inlineStr">
        <is>
          <t xml:space="preserve">Real pour cost %</t>
        </is>
      </c>
    </row>
    <row r="7">
      <c r="A7" s="3" t="inlineStr">
        <is>
          <t xml:space="preserve">House vodka (example)</t>
        </is>
      </c>
      <c r="B7" s="3" t="inlineStr">
        <is>
          <t xml:space="preserve">1 L bottle</t>
        </is>
      </c>
      <c r="C7" s="5">
        <v>6</v>
      </c>
      <c r="D7" s="5">
        <v>6</v>
      </c>
      <c r="E7" s="5">
        <v>7.5</v>
      </c>
      <c r="F7" s="14">
        <f>IF(COUNT(C7:E7)=0,0,N(C7)+N(D7)-N(E7))</f>
        <v>4.5</v>
      </c>
      <c r="G7" s="4">
        <v>18.0</v>
      </c>
      <c r="H7" s="7">
        <f>F7*N(G7)</f>
        <v>81.0</v>
      </c>
      <c r="I7" s="4">
        <v>340.0</v>
      </c>
      <c r="J7" s="8">
        <f>IF(AND(ISNUMBER(I7),I7&gt;0),H7/I7,0)</f>
        <v>0.238235</v>
      </c>
    </row>
    <row r="8">
      <c r="A8" s="3"/>
      <c r="B8" s="3"/>
      <c r="C8" s="5"/>
      <c r="D8" s="5"/>
      <c r="E8" s="5"/>
      <c r="F8" s="14">
        <f>IF(COUNT(C8:E8)=0,0,N(C8)+N(D8)-N(E8))</f>
        <v>0.0</v>
      </c>
      <c r="G8" s="4"/>
      <c r="H8" s="7">
        <f>F8*N(G8)</f>
        <v>0.0</v>
      </c>
      <c r="I8" s="4"/>
      <c r="J8" s="8">
        <f>IF(AND(ISNUMBER(I8),I8&gt;0),H8/I8,0)</f>
        <v>0.0</v>
      </c>
    </row>
    <row r="9">
      <c r="A9" s="3"/>
      <c r="B9" s="3"/>
      <c r="C9" s="5"/>
      <c r="D9" s="5"/>
      <c r="E9" s="5"/>
      <c r="F9" s="14">
        <f>IF(COUNT(C9:E9)=0,0,N(C9)+N(D9)-N(E9))</f>
        <v>0.0</v>
      </c>
      <c r="G9" s="4"/>
      <c r="H9" s="7">
        <f>F9*N(G9)</f>
        <v>0.0</v>
      </c>
      <c r="I9" s="4"/>
      <c r="J9" s="8">
        <f>IF(AND(ISNUMBER(I9),I9&gt;0),H9/I9,0)</f>
        <v>0.0</v>
      </c>
    </row>
    <row r="10">
      <c r="A10" s="3"/>
      <c r="B10" s="3"/>
      <c r="C10" s="5"/>
      <c r="D10" s="5"/>
      <c r="E10" s="5"/>
      <c r="F10" s="14">
        <f>IF(COUNT(C10:E10)=0,0,N(C10)+N(D10)-N(E10))</f>
        <v>0.0</v>
      </c>
      <c r="G10" s="4"/>
      <c r="H10" s="7">
        <f>F10*N(G10)</f>
        <v>0.0</v>
      </c>
      <c r="I10" s="4"/>
      <c r="J10" s="8">
        <f>IF(AND(ISNUMBER(I10),I10&gt;0),H10/I10,0)</f>
        <v>0.0</v>
      </c>
    </row>
    <row r="11">
      <c r="A11" s="3"/>
      <c r="B11" s="3"/>
      <c r="C11" s="5"/>
      <c r="D11" s="5"/>
      <c r="E11" s="5"/>
      <c r="F11" s="14">
        <f>IF(COUNT(C11:E11)=0,0,N(C11)+N(D11)-N(E11))</f>
        <v>0.0</v>
      </c>
      <c r="G11" s="4"/>
      <c r="H11" s="7">
        <f>F11*N(G11)</f>
        <v>0.0</v>
      </c>
      <c r="I11" s="4"/>
      <c r="J11" s="8">
        <f>IF(AND(ISNUMBER(I11),I11&gt;0),H11/I11,0)</f>
        <v>0.0</v>
      </c>
    </row>
    <row r="12">
      <c r="A12" s="3"/>
      <c r="B12" s="3"/>
      <c r="C12" s="5"/>
      <c r="D12" s="5"/>
      <c r="E12" s="5"/>
      <c r="F12" s="14">
        <f>IF(COUNT(C12:E12)=0,0,N(C12)+N(D12)-N(E12))</f>
        <v>0.0</v>
      </c>
      <c r="G12" s="4"/>
      <c r="H12" s="7">
        <f>F12*N(G12)</f>
        <v>0.0</v>
      </c>
      <c r="I12" s="4"/>
      <c r="J12" s="8">
        <f>IF(AND(ISNUMBER(I12),I12&gt;0),H12/I12,0)</f>
        <v>0.0</v>
      </c>
    </row>
    <row r="13">
      <c r="A13" s="3"/>
      <c r="B13" s="3"/>
      <c r="C13" s="5"/>
      <c r="D13" s="5"/>
      <c r="E13" s="5"/>
      <c r="F13" s="14">
        <f>IF(COUNT(C13:E13)=0,0,N(C13)+N(D13)-N(E13))</f>
        <v>0.0</v>
      </c>
      <c r="G13" s="4"/>
      <c r="H13" s="7">
        <f>F13*N(G13)</f>
        <v>0.0</v>
      </c>
      <c r="I13" s="4"/>
      <c r="J13" s="8">
        <f>IF(AND(ISNUMBER(I13),I13&gt;0),H13/I13,0)</f>
        <v>0.0</v>
      </c>
    </row>
    <row r="14">
      <c r="A14" s="3"/>
      <c r="B14" s="3"/>
      <c r="C14" s="5"/>
      <c r="D14" s="5"/>
      <c r="E14" s="5"/>
      <c r="F14" s="14">
        <f>IF(COUNT(C14:E14)=0,0,N(C14)+N(D14)-N(E14))</f>
        <v>0.0</v>
      </c>
      <c r="G14" s="4"/>
      <c r="H14" s="7">
        <f>F14*N(G14)</f>
        <v>0.0</v>
      </c>
      <c r="I14" s="4"/>
      <c r="J14" s="8">
        <f>IF(AND(ISNUMBER(I14),I14&gt;0),H14/I14,0)</f>
        <v>0.0</v>
      </c>
    </row>
    <row r="15">
      <c r="A15" s="3"/>
      <c r="B15" s="3"/>
      <c r="C15" s="5"/>
      <c r="D15" s="5"/>
      <c r="E15" s="5"/>
      <c r="F15" s="14">
        <f>IF(COUNT(C15:E15)=0,0,N(C15)+N(D15)-N(E15))</f>
        <v>0.0</v>
      </c>
      <c r="G15" s="4"/>
      <c r="H15" s="7">
        <f>F15*N(G15)</f>
        <v>0.0</v>
      </c>
      <c r="I15" s="4"/>
      <c r="J15" s="8">
        <f>IF(AND(ISNUMBER(I15),I15&gt;0),H15/I15,0)</f>
        <v>0.0</v>
      </c>
    </row>
    <row r="16">
      <c r="A16" s="3"/>
      <c r="B16" s="3"/>
      <c r="C16" s="5"/>
      <c r="D16" s="5"/>
      <c r="E16" s="5"/>
      <c r="F16" s="14">
        <f>IF(COUNT(C16:E16)=0,0,N(C16)+N(D16)-N(E16))</f>
        <v>0.0</v>
      </c>
      <c r="G16" s="4"/>
      <c r="H16" s="7">
        <f>F16*N(G16)</f>
        <v>0.0</v>
      </c>
      <c r="I16" s="4"/>
      <c r="J16" s="8">
        <f>IF(AND(ISNUMBER(I16),I16&gt;0),H16/I16,0)</f>
        <v>0.0</v>
      </c>
    </row>
    <row r="17">
      <c r="A17" s="3"/>
      <c r="B17" s="3"/>
      <c r="C17" s="5"/>
      <c r="D17" s="5"/>
      <c r="E17" s="5"/>
      <c r="F17" s="14">
        <f>IF(COUNT(C17:E17)=0,0,N(C17)+N(D17)-N(E17))</f>
        <v>0.0</v>
      </c>
      <c r="G17" s="4"/>
      <c r="H17" s="7">
        <f>F17*N(G17)</f>
        <v>0.0</v>
      </c>
      <c r="I17" s="4"/>
      <c r="J17" s="8">
        <f>IF(AND(ISNUMBER(I17),I17&gt;0),H17/I17,0)</f>
        <v>0.0</v>
      </c>
    </row>
    <row r="18">
      <c r="A18" s="3"/>
      <c r="B18" s="3"/>
      <c r="C18" s="5"/>
      <c r="D18" s="5"/>
      <c r="E18" s="5"/>
      <c r="F18" s="14">
        <f>IF(COUNT(C18:E18)=0,0,N(C18)+N(D18)-N(E18))</f>
        <v>0.0</v>
      </c>
      <c r="G18" s="4"/>
      <c r="H18" s="7">
        <f>F18*N(G18)</f>
        <v>0.0</v>
      </c>
      <c r="I18" s="4"/>
      <c r="J18" s="8">
        <f>IF(AND(ISNUMBER(I18),I18&gt;0),H18/I18,0)</f>
        <v>0.0</v>
      </c>
    </row>
    <row r="19">
      <c r="A19" s="3"/>
      <c r="B19" s="3"/>
      <c r="C19" s="5"/>
      <c r="D19" s="5"/>
      <c r="E19" s="5"/>
      <c r="F19" s="14">
        <f>IF(COUNT(C19:E19)=0,0,N(C19)+N(D19)-N(E19))</f>
        <v>0.0</v>
      </c>
      <c r="G19" s="4"/>
      <c r="H19" s="7">
        <f>F19*N(G19)</f>
        <v>0.0</v>
      </c>
      <c r="I19" s="4"/>
      <c r="J19" s="8">
        <f>IF(AND(ISNUMBER(I19),I19&gt;0),H19/I19,0)</f>
        <v>0.0</v>
      </c>
    </row>
    <row r="20">
      <c r="A20" s="3"/>
      <c r="B20" s="3"/>
      <c r="C20" s="5"/>
      <c r="D20" s="5"/>
      <c r="E20" s="5"/>
      <c r="F20" s="14">
        <f>IF(COUNT(C20:E20)=0,0,N(C20)+N(D20)-N(E20))</f>
        <v>0.0</v>
      </c>
      <c r="G20" s="4"/>
      <c r="H20" s="7">
        <f>F20*N(G20)</f>
        <v>0.0</v>
      </c>
      <c r="I20" s="4"/>
      <c r="J20" s="8">
        <f>IF(AND(ISNUMBER(I20),I20&gt;0),H20/I20,0)</f>
        <v>0.0</v>
      </c>
    </row>
    <row r="21">
      <c r="A21" s="3"/>
      <c r="B21" s="3"/>
      <c r="C21" s="5"/>
      <c r="D21" s="5"/>
      <c r="E21" s="5"/>
      <c r="F21" s="14">
        <f>IF(COUNT(C21:E21)=0,0,N(C21)+N(D21)-N(E21))</f>
        <v>0.0</v>
      </c>
      <c r="G21" s="4"/>
      <c r="H21" s="7">
        <f>F21*N(G21)</f>
        <v>0.0</v>
      </c>
      <c r="I21" s="4"/>
      <c r="J21" s="8">
        <f>IF(AND(ISNUMBER(I21),I21&gt;0),H21/I21,0)</f>
        <v>0.0</v>
      </c>
    </row>
    <row r="22">
      <c r="A22" s="3"/>
      <c r="B22" s="3"/>
      <c r="C22" s="5"/>
      <c r="D22" s="5"/>
      <c r="E22" s="5"/>
      <c r="F22" s="14">
        <f>IF(COUNT(C22:E22)=0,0,N(C22)+N(D22)-N(E22))</f>
        <v>0.0</v>
      </c>
      <c r="G22" s="4"/>
      <c r="H22" s="7">
        <f>F22*N(G22)</f>
        <v>0.0</v>
      </c>
      <c r="I22" s="4"/>
      <c r="J22" s="8">
        <f>IF(AND(ISNUMBER(I22),I22&gt;0),H22/I22,0)</f>
        <v>0.0</v>
      </c>
    </row>
    <row r="23">
      <c r="A23" s="3"/>
      <c r="B23" s="3"/>
      <c r="C23" s="5"/>
      <c r="D23" s="5"/>
      <c r="E23" s="5"/>
      <c r="F23" s="14">
        <f>IF(COUNT(C23:E23)=0,0,N(C23)+N(D23)-N(E23))</f>
        <v>0.0</v>
      </c>
      <c r="G23" s="4"/>
      <c r="H23" s="7">
        <f>F23*N(G23)</f>
        <v>0.0</v>
      </c>
      <c r="I23" s="4"/>
      <c r="J23" s="8">
        <f>IF(AND(ISNUMBER(I23),I23&gt;0),H23/I23,0)</f>
        <v>0.0</v>
      </c>
    </row>
    <row r="24">
      <c r="A24" s="3"/>
      <c r="B24" s="3"/>
      <c r="C24" s="5"/>
      <c r="D24" s="5"/>
      <c r="E24" s="5"/>
      <c r="F24" s="14">
        <f>IF(COUNT(C24:E24)=0,0,N(C24)+N(D24)-N(E24))</f>
        <v>0.0</v>
      </c>
      <c r="G24" s="4"/>
      <c r="H24" s="7">
        <f>F24*N(G24)</f>
        <v>0.0</v>
      </c>
      <c r="I24" s="4"/>
      <c r="J24" s="8">
        <f>IF(AND(ISNUMBER(I24),I24&gt;0),H24/I24,0)</f>
        <v>0.0</v>
      </c>
    </row>
    <row r="25">
      <c r="A25" s="3"/>
      <c r="B25" s="3"/>
      <c r="C25" s="5"/>
      <c r="D25" s="5"/>
      <c r="E25" s="5"/>
      <c r="F25" s="14">
        <f>IF(COUNT(C25:E25)=0,0,N(C25)+N(D25)-N(E25))</f>
        <v>0.0</v>
      </c>
      <c r="G25" s="4"/>
      <c r="H25" s="7">
        <f>F25*N(G25)</f>
        <v>0.0</v>
      </c>
      <c r="I25" s="4"/>
      <c r="J25" s="8">
        <f>IF(AND(ISNUMBER(I25),I25&gt;0),H25/I25,0)</f>
        <v>0.0</v>
      </c>
    </row>
    <row r="26">
      <c r="A26" s="3"/>
      <c r="B26" s="3"/>
      <c r="C26" s="5"/>
      <c r="D26" s="5"/>
      <c r="E26" s="5"/>
      <c r="F26" s="14">
        <f>IF(COUNT(C26:E26)=0,0,N(C26)+N(D26)-N(E26))</f>
        <v>0.0</v>
      </c>
      <c r="G26" s="4"/>
      <c r="H26" s="7">
        <f>F26*N(G26)</f>
        <v>0.0</v>
      </c>
      <c r="I26" s="4"/>
      <c r="J26" s="8">
        <f>IF(AND(ISNUMBER(I26),I26&gt;0),H26/I26,0)</f>
        <v>0.0</v>
      </c>
    </row>
    <row r="27">
      <c r="A27" s="3"/>
      <c r="B27" s="3"/>
      <c r="C27" s="5"/>
      <c r="D27" s="5"/>
      <c r="E27" s="5"/>
      <c r="F27" s="14">
        <f>IF(COUNT(C27:E27)=0,0,N(C27)+N(D27)-N(E27))</f>
        <v>0.0</v>
      </c>
      <c r="G27" s="4"/>
      <c r="H27" s="7">
        <f>F27*N(G27)</f>
        <v>0.0</v>
      </c>
      <c r="I27" s="4"/>
      <c r="J27" s="8">
        <f>IF(AND(ISNUMBER(I27),I27&gt;0),H27/I27,0)</f>
        <v>0.0</v>
      </c>
    </row>
    <row r="28">
      <c r="A28" s="3"/>
      <c r="B28" s="3"/>
      <c r="C28" s="5"/>
      <c r="D28" s="5"/>
      <c r="E28" s="5"/>
      <c r="F28" s="14">
        <f>IF(COUNT(C28:E28)=0,0,N(C28)+N(D28)-N(E28))</f>
        <v>0.0</v>
      </c>
      <c r="G28" s="4"/>
      <c r="H28" s="7">
        <f>F28*N(G28)</f>
        <v>0.0</v>
      </c>
      <c r="I28" s="4"/>
      <c r="J28" s="8">
        <f>IF(AND(ISNUMBER(I28),I28&gt;0),H28/I28,0)</f>
        <v>0.0</v>
      </c>
    </row>
    <row r="29">
      <c r="A29" s="3"/>
      <c r="B29" s="3"/>
      <c r="C29" s="5"/>
      <c r="D29" s="5"/>
      <c r="E29" s="5"/>
      <c r="F29" s="14">
        <f>IF(COUNT(C29:E29)=0,0,N(C29)+N(D29)-N(E29))</f>
        <v>0.0</v>
      </c>
      <c r="G29" s="4"/>
      <c r="H29" s="7">
        <f>F29*N(G29)</f>
        <v>0.0</v>
      </c>
      <c r="I29" s="4"/>
      <c r="J29" s="8">
        <f>IF(AND(ISNUMBER(I29),I29&gt;0),H29/I29,0)</f>
        <v>0.0</v>
      </c>
    </row>
    <row r="30">
      <c r="A30" s="3"/>
      <c r="B30" s="3"/>
      <c r="C30" s="5"/>
      <c r="D30" s="5"/>
      <c r="E30" s="5"/>
      <c r="F30" s="14">
        <f>IF(COUNT(C30:E30)=0,0,N(C30)+N(D30)-N(E30))</f>
        <v>0.0</v>
      </c>
      <c r="G30" s="4"/>
      <c r="H30" s="7">
        <f>F30*N(G30)</f>
        <v>0.0</v>
      </c>
      <c r="I30" s="4"/>
      <c r="J30" s="8">
        <f>IF(AND(ISNUMBER(I30),I30&gt;0),H30/I30,0)</f>
        <v>0.0</v>
      </c>
    </row>
    <row r="31">
      <c r="A31" s="3"/>
      <c r="B31" s="3"/>
      <c r="C31" s="5"/>
      <c r="D31" s="5"/>
      <c r="E31" s="5"/>
      <c r="F31" s="14">
        <f>IF(COUNT(C31:E31)=0,0,N(C31)+N(D31)-N(E31))</f>
        <v>0.0</v>
      </c>
      <c r="G31" s="4"/>
      <c r="H31" s="7">
        <f>F31*N(G31)</f>
        <v>0.0</v>
      </c>
      <c r="I31" s="4"/>
      <c r="J31" s="8">
        <f>IF(AND(ISNUMBER(I31),I31&gt;0),H31/I31,0)</f>
        <v>0.0</v>
      </c>
    </row>
    <row r="32">
      <c r="A32" s="3"/>
      <c r="B32" s="3"/>
      <c r="C32" s="5"/>
      <c r="D32" s="5"/>
      <c r="E32" s="5"/>
      <c r="F32" s="14">
        <f>IF(COUNT(C32:E32)=0,0,N(C32)+N(D32)-N(E32))</f>
        <v>0.0</v>
      </c>
      <c r="G32" s="4"/>
      <c r="H32" s="7">
        <f>F32*N(G32)</f>
        <v>0.0</v>
      </c>
      <c r="I32" s="4"/>
      <c r="J32" s="8">
        <f>IF(AND(ISNUMBER(I32),I32&gt;0),H32/I32,0)</f>
        <v>0.0</v>
      </c>
    </row>
    <row r="33">
      <c r="A33" s="3"/>
      <c r="B33" s="3"/>
      <c r="C33" s="5"/>
      <c r="D33" s="5"/>
      <c r="E33" s="5"/>
      <c r="F33" s="14">
        <f>IF(COUNT(C33:E33)=0,0,N(C33)+N(D33)-N(E33))</f>
        <v>0.0</v>
      </c>
      <c r="G33" s="4"/>
      <c r="H33" s="7">
        <f>F33*N(G33)</f>
        <v>0.0</v>
      </c>
      <c r="I33" s="4"/>
      <c r="J33" s="8">
        <f>IF(AND(ISNUMBER(I33),I33&gt;0),H33/I33,0)</f>
        <v>0.0</v>
      </c>
    </row>
    <row r="34">
      <c r="A34" s="3"/>
      <c r="B34" s="3"/>
      <c r="C34" s="5"/>
      <c r="D34" s="5"/>
      <c r="E34" s="5"/>
      <c r="F34" s="14">
        <f>IF(COUNT(C34:E34)=0,0,N(C34)+N(D34)-N(E34))</f>
        <v>0.0</v>
      </c>
      <c r="G34" s="4"/>
      <c r="H34" s="7">
        <f>F34*N(G34)</f>
        <v>0.0</v>
      </c>
      <c r="I34" s="4"/>
      <c r="J34" s="8">
        <f>IF(AND(ISNUMBER(I34),I34&gt;0),H34/I34,0)</f>
        <v>0.0</v>
      </c>
    </row>
    <row r="35">
      <c r="A35" s="3"/>
      <c r="B35" s="3"/>
      <c r="C35" s="5"/>
      <c r="D35" s="5"/>
      <c r="E35" s="5"/>
      <c r="F35" s="14">
        <f>IF(COUNT(C35:E35)=0,0,N(C35)+N(D35)-N(E35))</f>
        <v>0.0</v>
      </c>
      <c r="G35" s="4"/>
      <c r="H35" s="7">
        <f>F35*N(G35)</f>
        <v>0.0</v>
      </c>
      <c r="I35" s="4"/>
      <c r="J35" s="8">
        <f>IF(AND(ISNUMBER(I35),I35&gt;0),H35/I35,0)</f>
        <v>0.0</v>
      </c>
    </row>
    <row r="36">
      <c r="A36" s="3"/>
      <c r="B36" s="3"/>
      <c r="C36" s="5"/>
      <c r="D36" s="5"/>
      <c r="E36" s="5"/>
      <c r="F36" s="14">
        <f>IF(COUNT(C36:E36)=0,0,N(C36)+N(D36)-N(E36))</f>
        <v>0.0</v>
      </c>
      <c r="G36" s="4"/>
      <c r="H36" s="7">
        <f>F36*N(G36)</f>
        <v>0.0</v>
      </c>
      <c r="I36" s="4"/>
      <c r="J36" s="8">
        <f>IF(AND(ISNUMBER(I36),I36&gt;0),H36/I36,0)</f>
        <v>0.0</v>
      </c>
    </row>
    <row r="37">
      <c r="A37" s="3"/>
      <c r="B37" s="3"/>
      <c r="C37" s="5"/>
      <c r="D37" s="5"/>
      <c r="E37" s="5"/>
      <c r="F37" s="14">
        <f>IF(COUNT(C37:E37)=0,0,N(C37)+N(D37)-N(E37))</f>
        <v>0.0</v>
      </c>
      <c r="G37" s="4"/>
      <c r="H37" s="7">
        <f>F37*N(G37)</f>
        <v>0.0</v>
      </c>
      <c r="I37" s="4"/>
      <c r="J37" s="8">
        <f>IF(AND(ISNUMBER(I37),I37&gt;0),H37/I37,0)</f>
        <v>0.0</v>
      </c>
    </row>
    <row r="38">
      <c r="A38" s="3"/>
      <c r="B38" s="3"/>
      <c r="C38" s="5"/>
      <c r="D38" s="5"/>
      <c r="E38" s="5"/>
      <c r="F38" s="14">
        <f>IF(COUNT(C38:E38)=0,0,N(C38)+N(D38)-N(E38))</f>
        <v>0.0</v>
      </c>
      <c r="G38" s="4"/>
      <c r="H38" s="7">
        <f>F38*N(G38)</f>
        <v>0.0</v>
      </c>
      <c r="I38" s="4"/>
      <c r="J38" s="8">
        <f>IF(AND(ISNUMBER(I38),I38&gt;0),H38/I38,0)</f>
        <v>0.0</v>
      </c>
    </row>
    <row r="39">
      <c r="A39" s="3"/>
      <c r="B39" s="3"/>
      <c r="C39" s="5"/>
      <c r="D39" s="5"/>
      <c r="E39" s="5"/>
      <c r="F39" s="14">
        <f>IF(COUNT(C39:E39)=0,0,N(C39)+N(D39)-N(E39))</f>
        <v>0.0</v>
      </c>
      <c r="G39" s="4"/>
      <c r="H39" s="7">
        <f>F39*N(G39)</f>
        <v>0.0</v>
      </c>
      <c r="I39" s="4"/>
      <c r="J39" s="8">
        <f>IF(AND(ISNUMBER(I39),I39&gt;0),H39/I39,0)</f>
        <v>0.0</v>
      </c>
    </row>
    <row r="40">
      <c r="A40" s="3"/>
      <c r="B40" s="3"/>
      <c r="C40" s="5"/>
      <c r="D40" s="5"/>
      <c r="E40" s="5"/>
      <c r="F40" s="14">
        <f>IF(COUNT(C40:E40)=0,0,N(C40)+N(D40)-N(E40))</f>
        <v>0.0</v>
      </c>
      <c r="G40" s="4"/>
      <c r="H40" s="7">
        <f>F40*N(G40)</f>
        <v>0.0</v>
      </c>
      <c r="I40" s="4"/>
      <c r="J40" s="8">
        <f>IF(AND(ISNUMBER(I40),I40&gt;0),H40/I40,0)</f>
        <v>0.0</v>
      </c>
    </row>
    <row r="41">
      <c r="A41" s="3"/>
      <c r="B41" s="3"/>
      <c r="C41" s="5"/>
      <c r="D41" s="5"/>
      <c r="E41" s="5"/>
      <c r="F41" s="14">
        <f>IF(COUNT(C41:E41)=0,0,N(C41)+N(D41)-N(E41))</f>
        <v>0.0</v>
      </c>
      <c r="G41" s="4"/>
      <c r="H41" s="7">
        <f>F41*N(G41)</f>
        <v>0.0</v>
      </c>
      <c r="I41" s="4"/>
      <c r="J41" s="8">
        <f>IF(AND(ISNUMBER(I41),I41&gt;0),H41/I41,0)</f>
        <v>0.0</v>
      </c>
    </row>
    <row r="42">
      <c r="A42" s="3"/>
      <c r="B42" s="3"/>
      <c r="C42" s="5"/>
      <c r="D42" s="5"/>
      <c r="E42" s="5"/>
      <c r="F42" s="14">
        <f>IF(COUNT(C42:E42)=0,0,N(C42)+N(D42)-N(E42))</f>
        <v>0.0</v>
      </c>
      <c r="G42" s="4"/>
      <c r="H42" s="7">
        <f>F42*N(G42)</f>
        <v>0.0</v>
      </c>
      <c r="I42" s="4"/>
      <c r="J42" s="8">
        <f>IF(AND(ISNUMBER(I42),I42&gt;0),H42/I42,0)</f>
        <v>0.0</v>
      </c>
    </row>
    <row r="43">
      <c r="A43" s="3"/>
      <c r="B43" s="3"/>
      <c r="C43" s="5"/>
      <c r="D43" s="5"/>
      <c r="E43" s="5"/>
      <c r="F43" s="14">
        <f>IF(COUNT(C43:E43)=0,0,N(C43)+N(D43)-N(E43))</f>
        <v>0.0</v>
      </c>
      <c r="G43" s="4"/>
      <c r="H43" s="7">
        <f>F43*N(G43)</f>
        <v>0.0</v>
      </c>
      <c r="I43" s="4"/>
      <c r="J43" s="8">
        <f>IF(AND(ISNUMBER(I43),I43&gt;0),H43/I43,0)</f>
        <v>0.0</v>
      </c>
    </row>
    <row r="44">
      <c r="A44" s="3"/>
      <c r="B44" s="3"/>
      <c r="C44" s="5"/>
      <c r="D44" s="5"/>
      <c r="E44" s="5"/>
      <c r="F44" s="14">
        <f>IF(COUNT(C44:E44)=0,0,N(C44)+N(D44)-N(E44))</f>
        <v>0.0</v>
      </c>
      <c r="G44" s="4"/>
      <c r="H44" s="7">
        <f>F44*N(G44)</f>
        <v>0.0</v>
      </c>
      <c r="I44" s="4"/>
      <c r="J44" s="8">
        <f>IF(AND(ISNUMBER(I44),I44&gt;0),H44/I44,0)</f>
        <v>0.0</v>
      </c>
    </row>
    <row r="45">
      <c r="A45" s="3"/>
      <c r="B45" s="3"/>
      <c r="C45" s="5"/>
      <c r="D45" s="5"/>
      <c r="E45" s="5"/>
      <c r="F45" s="14">
        <f>IF(COUNT(C45:E45)=0,0,N(C45)+N(D45)-N(E45))</f>
        <v>0.0</v>
      </c>
      <c r="G45" s="4"/>
      <c r="H45" s="7">
        <f>F45*N(G45)</f>
        <v>0.0</v>
      </c>
      <c r="I45" s="4"/>
      <c r="J45" s="8">
        <f>IF(AND(ISNUMBER(I45),I45&gt;0),H45/I45,0)</f>
        <v>0.0</v>
      </c>
    </row>
    <row r="46">
      <c r="A46" s="3"/>
      <c r="B46" s="3"/>
      <c r="C46" s="5"/>
      <c r="D46" s="5"/>
      <c r="E46" s="5"/>
      <c r="F46" s="14">
        <f>IF(COUNT(C46:E46)=0,0,N(C46)+N(D46)-N(E46))</f>
        <v>0.0</v>
      </c>
      <c r="G46" s="4"/>
      <c r="H46" s="7">
        <f>F46*N(G46)</f>
        <v>0.0</v>
      </c>
      <c r="I46" s="4"/>
      <c r="J46" s="8">
        <f>IF(AND(ISNUMBER(I46),I46&gt;0),H46/I46,0)</f>
        <v>0.0</v>
      </c>
    </row>
    <row r="47">
      <c r="A47" s="3"/>
      <c r="B47" s="3"/>
      <c r="C47" s="5"/>
      <c r="D47" s="5"/>
      <c r="E47" s="5"/>
      <c r="F47" s="14">
        <f>IF(COUNT(C47:E47)=0,0,N(C47)+N(D47)-N(E47))</f>
        <v>0.0</v>
      </c>
      <c r="G47" s="4"/>
      <c r="H47" s="7">
        <f>F47*N(G47)</f>
        <v>0.0</v>
      </c>
      <c r="I47" s="4"/>
      <c r="J47" s="8">
        <f>IF(AND(ISNUMBER(I47),I47&gt;0),H47/I47,0)</f>
        <v>0.0</v>
      </c>
    </row>
    <row r="48">
      <c r="A48" s="3"/>
      <c r="B48" s="3"/>
      <c r="C48" s="5"/>
      <c r="D48" s="5"/>
      <c r="E48" s="5"/>
      <c r="F48" s="14">
        <f>IF(COUNT(C48:E48)=0,0,N(C48)+N(D48)-N(E48))</f>
        <v>0.0</v>
      </c>
      <c r="G48" s="4"/>
      <c r="H48" s="7">
        <f>F48*N(G48)</f>
        <v>0.0</v>
      </c>
      <c r="I48" s="4"/>
      <c r="J48" s="8">
        <f>IF(AND(ISNUMBER(I48),I48&gt;0),H48/I48,0)</f>
        <v>0.0</v>
      </c>
    </row>
    <row r="49">
      <c r="A49" s="3"/>
      <c r="B49" s="3"/>
      <c r="C49" s="5"/>
      <c r="D49" s="5"/>
      <c r="E49" s="5"/>
      <c r="F49" s="14">
        <f>IF(COUNT(C49:E49)=0,0,N(C49)+N(D49)-N(E49))</f>
        <v>0.0</v>
      </c>
      <c r="G49" s="4"/>
      <c r="H49" s="7">
        <f>F49*N(G49)</f>
        <v>0.0</v>
      </c>
      <c r="I49" s="4"/>
      <c r="J49" s="8">
        <f>IF(AND(ISNUMBER(I49),I49&gt;0),H49/I49,0)</f>
        <v>0.0</v>
      </c>
    </row>
    <row r="50">
      <c r="A50" s="3"/>
      <c r="B50" s="3"/>
      <c r="C50" s="5"/>
      <c r="D50" s="5"/>
      <c r="E50" s="5"/>
      <c r="F50" s="14">
        <f>IF(COUNT(C50:E50)=0,0,N(C50)+N(D50)-N(E50))</f>
        <v>0.0</v>
      </c>
      <c r="G50" s="4"/>
      <c r="H50" s="7">
        <f>F50*N(G50)</f>
        <v>0.0</v>
      </c>
      <c r="I50" s="4"/>
      <c r="J50" s="8">
        <f>IF(AND(ISNUMBER(I50),I50&gt;0),H50/I50,0)</f>
        <v>0.0</v>
      </c>
    </row>
    <row r="51">
      <c r="A51" s="3"/>
      <c r="B51" s="3"/>
      <c r="C51" s="5"/>
      <c r="D51" s="5"/>
      <c r="E51" s="5"/>
      <c r="F51" s="14">
        <f>IF(COUNT(C51:E51)=0,0,N(C51)+N(D51)-N(E51))</f>
        <v>0.0</v>
      </c>
      <c r="G51" s="4"/>
      <c r="H51" s="7">
        <f>F51*N(G51)</f>
        <v>0.0</v>
      </c>
      <c r="I51" s="4"/>
      <c r="J51" s="8">
        <f>IF(AND(ISNUMBER(I51),I51&gt;0),H51/I51,0)</f>
        <v>0.0</v>
      </c>
    </row>
    <row r="52">
      <c r="A52" s="3"/>
      <c r="B52" s="3"/>
      <c r="C52" s="5"/>
      <c r="D52" s="5"/>
      <c r="E52" s="5"/>
      <c r="F52" s="14">
        <f>IF(COUNT(C52:E52)=0,0,N(C52)+N(D52)-N(E52))</f>
        <v>0.0</v>
      </c>
      <c r="G52" s="4"/>
      <c r="H52" s="7">
        <f>F52*N(G52)</f>
        <v>0.0</v>
      </c>
      <c r="I52" s="4"/>
      <c r="J52" s="8">
        <f>IF(AND(ISNUMBER(I52),I52&gt;0),H52/I52,0)</f>
        <v>0.0</v>
      </c>
    </row>
    <row r="53">
      <c r="A53" s="3"/>
      <c r="B53" s="3"/>
      <c r="C53" s="5"/>
      <c r="D53" s="5"/>
      <c r="E53" s="5"/>
      <c r="F53" s="14">
        <f>IF(COUNT(C53:E53)=0,0,N(C53)+N(D53)-N(E53))</f>
        <v>0.0</v>
      </c>
      <c r="G53" s="4"/>
      <c r="H53" s="7">
        <f>F53*N(G53)</f>
        <v>0.0</v>
      </c>
      <c r="I53" s="4"/>
      <c r="J53" s="8">
        <f>IF(AND(ISNUMBER(I53),I53&gt;0),H53/I53,0)</f>
        <v>0.0</v>
      </c>
    </row>
    <row r="54">
      <c r="A54" s="3"/>
      <c r="B54" s="3"/>
      <c r="C54" s="5"/>
      <c r="D54" s="5"/>
      <c r="E54" s="5"/>
      <c r="F54" s="14">
        <f>IF(COUNT(C54:E54)=0,0,N(C54)+N(D54)-N(E54))</f>
        <v>0.0</v>
      </c>
      <c r="G54" s="4"/>
      <c r="H54" s="7">
        <f>F54*N(G54)</f>
        <v>0.0</v>
      </c>
      <c r="I54" s="4"/>
      <c r="J54" s="8">
        <f>IF(AND(ISNUMBER(I54),I54&gt;0),H54/I54,0)</f>
        <v>0.0</v>
      </c>
    </row>
    <row r="55">
      <c r="A55" s="3"/>
      <c r="B55" s="3"/>
      <c r="C55" s="5"/>
      <c r="D55" s="5"/>
      <c r="E55" s="5"/>
      <c r="F55" s="14">
        <f>IF(COUNT(C55:E55)=0,0,N(C55)+N(D55)-N(E55))</f>
        <v>0.0</v>
      </c>
      <c r="G55" s="4"/>
      <c r="H55" s="7">
        <f>F55*N(G55)</f>
        <v>0.0</v>
      </c>
      <c r="I55" s="4"/>
      <c r="J55" s="8">
        <f>IF(AND(ISNUMBER(I55),I55&gt;0),H55/I55,0)</f>
        <v>0.0</v>
      </c>
    </row>
    <row r="56">
      <c r="A56" s="3"/>
      <c r="B56" s="3"/>
      <c r="C56" s="5"/>
      <c r="D56" s="5"/>
      <c r="E56" s="5"/>
      <c r="F56" s="14">
        <f>IF(COUNT(C56:E56)=0,0,N(C56)+N(D56)-N(E56))</f>
        <v>0.0</v>
      </c>
      <c r="G56" s="4"/>
      <c r="H56" s="7">
        <f>F56*N(G56)</f>
        <v>0.0</v>
      </c>
      <c r="I56" s="4"/>
      <c r="J56" s="8">
        <f>IF(AND(ISNUMBER(I56),I56&gt;0),H56/I56,0)</f>
        <v>0.0</v>
      </c>
    </row>
    <row r="58">
      <c r="G58" s="10" t="inlineStr">
        <is>
          <t xml:space="preserve">Totals</t>
        </is>
      </c>
      <c r="H58" s="11">
        <f>SUM(H7:H56)</f>
        <v>81.0</v>
      </c>
      <c r="I58" s="11">
        <f>SUM(I7:I56)</f>
        <v>340.0</v>
      </c>
      <c r="J58" s="8">
        <f>IF(I58&gt;0,H58/I58,0)</f>
        <v>0.238235</v>
      </c>
    </row>
    <row r="60">
      <c r="A60" s="9" t="inlineStr">
        <is>
          <t xml:space="preserve">Row 7 is an example: 6 bottles on the shelf + 6 received − 7.5 left = 4.5 bottles used. Replace it with your own counts.</t>
        </is>
      </c>
    </row>
  </sheetData>
  <mergeCells count="2">
    <mergeCell ref="B4:C4"/>
    <mergeCell ref="A60:J60"/>
  </mergeCells>
  <pageMargins left="0.5" right="0.5" top="0.6" bottom="0.6" header="0.3" footer="0.3"/>
  <pageSetup orientation="landscape" fitToWidth="1" fitToHeight="0"/>
</worksheet>
</file>

<file path=docProps/core.xml><?xml version="1.0" encoding="utf-8"?>
<cp:coreProperties xmlns:cp="http://schemas.openxmlformats.org/package/2006/metadata/core-properties" xmlns:dc="http://purl.org/dc/elements/1.1/">
  <dc:title>Bar Inventory &amp; Pour Cost Calculator</dc:title>
  <dc:creator>EPAY POS</dc:creator>
</cp:coreProperties>
</file>